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andrewlou/Downloads/"/>
    </mc:Choice>
  </mc:AlternateContent>
  <xr:revisionPtr revIDLastSave="0" documentId="13_ncr:1_{F726ECCA-31BA-3746-9FE6-7C1102F7CC06}" xr6:coauthVersionLast="47" xr6:coauthVersionMax="47" xr10:uidLastSave="{00000000-0000-0000-0000-000000000000}"/>
  <bookViews>
    <workbookView xWindow="6940" yWindow="640" windowWidth="23300" windowHeight="18920" xr2:uid="{00000000-000D-0000-FFFF-FFFF00000000}"/>
  </bookViews>
  <sheets>
    <sheet name="Form Responses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9" i="1" l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M59" i="1"/>
  <c r="L59" i="1"/>
  <c r="K59" i="1"/>
  <c r="J59" i="1"/>
  <c r="I59" i="1"/>
  <c r="H59" i="1"/>
  <c r="G59" i="1"/>
  <c r="F59" i="1"/>
  <c r="E59" i="1"/>
  <c r="D59" i="1"/>
  <c r="C59" i="1"/>
  <c r="B59" i="1"/>
  <c r="M58" i="1"/>
  <c r="L58" i="1"/>
  <c r="K58" i="1"/>
  <c r="J58" i="1"/>
  <c r="I58" i="1"/>
  <c r="H58" i="1"/>
  <c r="G58" i="1"/>
  <c r="F58" i="1"/>
  <c r="E58" i="1"/>
  <c r="D58" i="1"/>
  <c r="C58" i="1"/>
  <c r="B58" i="1"/>
  <c r="M39" i="1"/>
  <c r="L39" i="1"/>
  <c r="K39" i="1"/>
  <c r="J39" i="1"/>
  <c r="I39" i="1"/>
  <c r="H39" i="1"/>
  <c r="G39" i="1"/>
  <c r="F39" i="1"/>
  <c r="E39" i="1"/>
  <c r="D39" i="1"/>
  <c r="C39" i="1"/>
  <c r="B39" i="1"/>
  <c r="M38" i="1"/>
  <c r="L38" i="1"/>
  <c r="K38" i="1"/>
  <c r="J38" i="1"/>
  <c r="I38" i="1"/>
  <c r="H38" i="1"/>
  <c r="G38" i="1"/>
  <c r="F38" i="1"/>
  <c r="E38" i="1"/>
  <c r="D38" i="1"/>
  <c r="C38" i="1"/>
  <c r="B38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</calcChain>
</file>

<file path=xl/sharedStrings.xml><?xml version="1.0" encoding="utf-8"?>
<sst xmlns="http://schemas.openxmlformats.org/spreadsheetml/2006/main" count="146" uniqueCount="40">
  <si>
    <t>Question 1</t>
  </si>
  <si>
    <t>Name</t>
  </si>
  <si>
    <t>1A. The total cost to knock down the house and build a new one with wood from the Shangla District</t>
  </si>
  <si>
    <t>1B. The difference between the value of the house as it is and what it would have been worth had it been made with Shangla wood, which is zero.</t>
  </si>
  <si>
    <t>1C.  The court’s best guess of how much money it would take to compensate the businessman for his disappointment at not having a house made with Shangla wood.</t>
  </si>
  <si>
    <t>1D.  The money saved by the builder for using imported wood instead of Shangla wood.</t>
  </si>
  <si>
    <t>Simone Sepe</t>
  </si>
  <si>
    <t>Doni Bloomfield</t>
  </si>
  <si>
    <t>Mark P Gergen</t>
  </si>
  <si>
    <t>Robert Scott</t>
  </si>
  <si>
    <t>Henry Smith</t>
  </si>
  <si>
    <t>Ela Leshem</t>
  </si>
  <si>
    <t>Noah Zatz</t>
  </si>
  <si>
    <t>Luke Herrine</t>
  </si>
  <si>
    <t>Ethan Leib</t>
  </si>
  <si>
    <t>Florencia Marotta-Wurgler</t>
  </si>
  <si>
    <t xml:space="preserve">Prince Saprai </t>
  </si>
  <si>
    <t>Rebecca Stone</t>
  </si>
  <si>
    <t>Irit Samet</t>
  </si>
  <si>
    <t>Hao Jiang</t>
  </si>
  <si>
    <t>Gabriel Rauterberg</t>
  </si>
  <si>
    <t>Average</t>
  </si>
  <si>
    <t>STD</t>
  </si>
  <si>
    <t>Question 2</t>
  </si>
  <si>
    <t>2A. The cement factory does not constitute a nuisance.</t>
  </si>
  <si>
    <t>2B.  The cement factory constitutes a nuisance, and the remedy is damages for the economic loss that the dust imposes on the farm-owners.</t>
  </si>
  <si>
    <t>Question 3</t>
  </si>
  <si>
    <t>3A. So that those who have the most serious medical injury get the most.</t>
  </si>
  <si>
    <t>3B.  So that those who lost the most wages get the most.</t>
  </si>
  <si>
    <t>3C.  So that those whose injuries can be cured by expensive medical care get more compensation than those whose injuries are incurable.</t>
  </si>
  <si>
    <t>Question 4</t>
  </si>
  <si>
    <t>4A. The developer did not commit a trespass.</t>
  </si>
  <si>
    <t>4B.  The developer committed a trespass, and the remedy is the reduction in the value of the mall and its parking lot, which is zero.</t>
  </si>
  <si>
    <t>4C.  The developer committed a trespass, and the remedy is an injunction to tear down the office tower and move it to eliminate the encroachment.</t>
  </si>
  <si>
    <t>4D.   The developer committed a trespass, and the remedy is disgorgement of the construction costs saved by the decision to build rather than redesigning the building and getting renewed planning permission.</t>
  </si>
  <si>
    <t>Efficiency</t>
  </si>
  <si>
    <t>Corrective Justice</t>
  </si>
  <si>
    <t>Distributive Justice</t>
  </si>
  <si>
    <t>Functionalist Formalist</t>
  </si>
  <si>
    <t>2C.  The cement factory constitutes a nuisance, and there is an injunction halting the factory’s operation.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</si>
</sst>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2"/>
      <color theme="1"/>
      <name val="Spectral"/>
    </font>
    <font>
      <b/>
      <sz val="10"/>
      <color theme="1"/>
      <name val="Spectral"/>
    </font>
    <font>
      <sz val="10"/>
      <color theme="1"/>
      <name val="Spectral"/>
    </font>
    <font>
      <sz val="12"/>
      <color theme="1"/>
      <name val="Spectral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FCE5CD"/>
        <bgColor rgb="FFFCE5CD"/>
      </patternFill>
    </fill>
    <fill>
      <patternFill patternType="solid">
        <fgColor theme="6"/>
        <bgColor indexed="64"/>
      </patternFill>
    </fill>
  </fills>
  <borders count="1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1" fillId="4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0" borderId="2" xfId="0" applyFont="1" applyBorder="1"/>
    <xf numFmtId="0" fontId="2" fillId="3" borderId="2" xfId="0" applyFont="1" applyFill="1" applyBorder="1"/>
    <xf numFmtId="0" fontId="2" fillId="3" borderId="4" xfId="0" applyFont="1" applyFill="1" applyBorder="1"/>
    <xf numFmtId="0" fontId="2" fillId="3" borderId="7" xfId="0" applyFont="1" applyFill="1" applyBorder="1"/>
    <xf numFmtId="0" fontId="1" fillId="0" borderId="2" xfId="0" applyFont="1" applyBorder="1"/>
    <xf numFmtId="2" fontId="2" fillId="3" borderId="2" xfId="0" applyNumberFormat="1" applyFont="1" applyFill="1" applyBorder="1"/>
    <xf numFmtId="2" fontId="2" fillId="3" borderId="4" xfId="0" applyNumberFormat="1" applyFont="1" applyFill="1" applyBorder="1"/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6" fillId="0" borderId="0" xfId="0" applyFont="1" applyAlignment="1">
      <alignment vertic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2" fontId="2" fillId="3" borderId="2" xfId="0" applyNumberFormat="1" applyFont="1" applyFill="1" applyBorder="1" applyAlignment="1">
      <alignment horizontal="center"/>
    </xf>
    <xf numFmtId="2" fontId="2" fillId="3" borderId="0" xfId="0" applyNumberFormat="1" applyFont="1" applyFill="1" applyAlignment="1">
      <alignment horizontal="center"/>
    </xf>
    <xf numFmtId="2" fontId="2" fillId="3" borderId="3" xfId="0" applyNumberFormat="1" applyFont="1" applyFill="1" applyBorder="1" applyAlignment="1">
      <alignment horizontal="center"/>
    </xf>
    <xf numFmtId="2" fontId="2" fillId="3" borderId="4" xfId="0" applyNumberFormat="1" applyFont="1" applyFill="1" applyBorder="1" applyAlignment="1">
      <alignment horizontal="center"/>
    </xf>
    <xf numFmtId="2" fontId="2" fillId="3" borderId="5" xfId="0" applyNumberFormat="1" applyFont="1" applyFill="1" applyBorder="1" applyAlignment="1">
      <alignment horizontal="center"/>
    </xf>
    <xf numFmtId="2" fontId="2" fillId="3" borderId="6" xfId="0" applyNumberFormat="1" applyFont="1" applyFill="1" applyBorder="1" applyAlignment="1">
      <alignment horizontal="center"/>
    </xf>
    <xf numFmtId="2" fontId="2" fillId="3" borderId="8" xfId="0" applyNumberFormat="1" applyFont="1" applyFill="1" applyBorder="1" applyAlignment="1">
      <alignment horizontal="center"/>
    </xf>
    <xf numFmtId="2" fontId="2" fillId="3" borderId="9" xfId="0" applyNumberFormat="1" applyFont="1" applyFill="1" applyBorder="1" applyAlignment="1">
      <alignment horizontal="center"/>
    </xf>
    <xf numFmtId="2" fontId="2" fillId="3" borderId="7" xfId="0" applyNumberFormat="1" applyFont="1" applyFill="1" applyBorder="1" applyAlignment="1">
      <alignment horizontal="center"/>
    </xf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0" xfId="0" applyFont="1" applyBorder="1"/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20"/>
  <sheetViews>
    <sheetView tabSelected="1" topLeftCell="A39" zoomScale="80" zoomScaleNormal="80" workbookViewId="0">
      <pane xSplit="1" topLeftCell="B1" activePane="topRight" state="frozen"/>
      <selection pane="topRight" activeCell="F41" sqref="F41:I41"/>
    </sheetView>
  </sheetViews>
  <sheetFormatPr baseColWidth="10" defaultColWidth="12.6640625" defaultRowHeight="15.75" customHeight="1"/>
  <cols>
    <col min="1" max="1" width="22.5" style="4" customWidth="1"/>
    <col min="2" max="17" width="16.83203125" style="4" customWidth="1"/>
    <col min="18" max="18" width="37.6640625" style="4" customWidth="1"/>
    <col min="19" max="24" width="18.83203125" style="4" customWidth="1"/>
    <col min="25" max="16384" width="12.6640625" style="4"/>
  </cols>
  <sheetData>
    <row r="1" spans="1:24" s="18" customFormat="1" ht="70" customHeight="1">
      <c r="A1" s="5" t="s">
        <v>0</v>
      </c>
      <c r="B1" s="47" t="s">
        <v>2</v>
      </c>
      <c r="C1" s="47"/>
      <c r="D1" s="47"/>
      <c r="E1" s="47"/>
      <c r="F1" s="47" t="s">
        <v>3</v>
      </c>
      <c r="G1" s="47"/>
      <c r="H1" s="47"/>
      <c r="I1" s="47"/>
      <c r="J1" s="47" t="s">
        <v>4</v>
      </c>
      <c r="K1" s="47"/>
      <c r="L1" s="47"/>
      <c r="M1" s="47"/>
      <c r="N1" s="47" t="s">
        <v>5</v>
      </c>
      <c r="O1" s="47"/>
      <c r="P1" s="47"/>
      <c r="Q1" s="47"/>
      <c r="R1" s="16"/>
      <c r="S1" s="17"/>
      <c r="T1" s="17"/>
      <c r="U1" s="17"/>
      <c r="V1" s="17"/>
      <c r="W1" s="17"/>
      <c r="X1" s="17"/>
    </row>
    <row r="2" spans="1:24" s="21" customFormat="1" ht="34">
      <c r="A2" s="14" t="s">
        <v>1</v>
      </c>
      <c r="B2" s="6" t="s">
        <v>35</v>
      </c>
      <c r="C2" s="6" t="s">
        <v>36</v>
      </c>
      <c r="D2" s="6" t="s">
        <v>37</v>
      </c>
      <c r="E2" s="6" t="s">
        <v>38</v>
      </c>
      <c r="F2" s="6" t="s">
        <v>35</v>
      </c>
      <c r="G2" s="6" t="s">
        <v>36</v>
      </c>
      <c r="H2" s="6" t="s">
        <v>37</v>
      </c>
      <c r="I2" s="6" t="s">
        <v>38</v>
      </c>
      <c r="J2" s="6" t="s">
        <v>35</v>
      </c>
      <c r="K2" s="6" t="s">
        <v>36</v>
      </c>
      <c r="L2" s="6" t="s">
        <v>37</v>
      </c>
      <c r="M2" s="6" t="s">
        <v>38</v>
      </c>
      <c r="N2" s="6" t="s">
        <v>35</v>
      </c>
      <c r="O2" s="6" t="s">
        <v>36</v>
      </c>
      <c r="P2" s="6" t="s">
        <v>37</v>
      </c>
      <c r="Q2" s="6" t="s">
        <v>38</v>
      </c>
      <c r="R2" s="19"/>
      <c r="S2" s="20"/>
      <c r="T2" s="20"/>
      <c r="U2" s="20"/>
      <c r="V2" s="20"/>
      <c r="W2" s="20"/>
      <c r="X2" s="20"/>
    </row>
    <row r="3" spans="1:24" ht="15.75" customHeight="1">
      <c r="A3" s="7" t="s">
        <v>6</v>
      </c>
      <c r="B3" s="24">
        <v>2</v>
      </c>
      <c r="C3" s="25">
        <v>8</v>
      </c>
      <c r="D3" s="25">
        <v>4</v>
      </c>
      <c r="E3" s="26">
        <v>2</v>
      </c>
      <c r="F3" s="27">
        <v>9</v>
      </c>
      <c r="G3" s="27">
        <v>2</v>
      </c>
      <c r="H3" s="27">
        <v>3</v>
      </c>
      <c r="I3" s="27">
        <v>8</v>
      </c>
      <c r="J3" s="24">
        <v>6</v>
      </c>
      <c r="K3" s="25">
        <v>7</v>
      </c>
      <c r="L3" s="25">
        <v>6</v>
      </c>
      <c r="M3" s="26">
        <v>6</v>
      </c>
      <c r="N3" s="27">
        <v>6</v>
      </c>
      <c r="O3" s="27">
        <v>5</v>
      </c>
      <c r="P3" s="27">
        <v>6</v>
      </c>
      <c r="Q3" s="28">
        <v>7</v>
      </c>
      <c r="R3" s="1"/>
      <c r="S3" s="1"/>
      <c r="T3" s="1"/>
      <c r="U3" s="1"/>
      <c r="V3" s="1"/>
      <c r="W3" s="1"/>
      <c r="X3" s="1"/>
    </row>
    <row r="4" spans="1:24" ht="15.75" customHeight="1">
      <c r="A4" s="7" t="s">
        <v>7</v>
      </c>
      <c r="B4" s="29">
        <v>2</v>
      </c>
      <c r="C4" s="27">
        <v>6</v>
      </c>
      <c r="D4" s="27">
        <v>1</v>
      </c>
      <c r="E4" s="28">
        <v>2</v>
      </c>
      <c r="F4" s="27">
        <v>4</v>
      </c>
      <c r="G4" s="27">
        <v>2</v>
      </c>
      <c r="H4" s="27">
        <v>7</v>
      </c>
      <c r="I4" s="27">
        <v>7</v>
      </c>
      <c r="J4" s="29">
        <v>8</v>
      </c>
      <c r="K4" s="27">
        <v>9</v>
      </c>
      <c r="L4" s="27">
        <v>4</v>
      </c>
      <c r="M4" s="28">
        <v>6</v>
      </c>
      <c r="N4" s="27">
        <v>6</v>
      </c>
      <c r="O4" s="27">
        <v>6</v>
      </c>
      <c r="P4" s="27">
        <v>8</v>
      </c>
      <c r="Q4" s="28">
        <v>8</v>
      </c>
      <c r="R4" s="1"/>
      <c r="S4" s="1"/>
      <c r="T4" s="1"/>
      <c r="U4" s="1"/>
      <c r="V4" s="1"/>
      <c r="W4" s="1"/>
      <c r="X4" s="1"/>
    </row>
    <row r="5" spans="1:24" ht="15.75" customHeight="1">
      <c r="A5" s="7" t="s">
        <v>8</v>
      </c>
      <c r="B5" s="29">
        <v>5</v>
      </c>
      <c r="C5" s="27">
        <v>7</v>
      </c>
      <c r="D5" s="27">
        <v>4</v>
      </c>
      <c r="E5" s="28">
        <v>3</v>
      </c>
      <c r="F5" s="27">
        <v>5</v>
      </c>
      <c r="G5" s="27">
        <v>3</v>
      </c>
      <c r="H5" s="27">
        <v>6</v>
      </c>
      <c r="I5" s="27">
        <v>7</v>
      </c>
      <c r="J5" s="29">
        <v>5</v>
      </c>
      <c r="K5" s="27">
        <v>8</v>
      </c>
      <c r="L5" s="27">
        <v>8</v>
      </c>
      <c r="M5" s="28">
        <v>7</v>
      </c>
      <c r="N5" s="27">
        <v>5</v>
      </c>
      <c r="O5" s="27">
        <v>6</v>
      </c>
      <c r="P5" s="27">
        <v>6</v>
      </c>
      <c r="Q5" s="28">
        <v>6</v>
      </c>
      <c r="R5" s="1"/>
      <c r="S5" s="1"/>
      <c r="T5" s="1"/>
      <c r="U5" s="1"/>
      <c r="V5" s="1"/>
      <c r="W5" s="1"/>
      <c r="X5" s="1"/>
    </row>
    <row r="6" spans="1:24" ht="15.75" customHeight="1">
      <c r="A6" s="7" t="s">
        <v>9</v>
      </c>
      <c r="B6" s="29">
        <v>9</v>
      </c>
      <c r="C6" s="27">
        <v>7</v>
      </c>
      <c r="D6" s="27">
        <v>2</v>
      </c>
      <c r="E6" s="28">
        <v>5</v>
      </c>
      <c r="F6" s="27">
        <v>1</v>
      </c>
      <c r="G6" s="27">
        <v>3</v>
      </c>
      <c r="H6" s="27">
        <v>7</v>
      </c>
      <c r="I6" s="27">
        <v>7</v>
      </c>
      <c r="J6" s="29">
        <v>1</v>
      </c>
      <c r="K6" s="27">
        <v>8</v>
      </c>
      <c r="L6" s="27">
        <v>8</v>
      </c>
      <c r="M6" s="28">
        <v>8</v>
      </c>
      <c r="N6" s="27">
        <v>6</v>
      </c>
      <c r="O6" s="27">
        <v>7</v>
      </c>
      <c r="P6" s="27">
        <v>8</v>
      </c>
      <c r="Q6" s="28">
        <v>8</v>
      </c>
      <c r="R6" s="1"/>
      <c r="S6" s="1"/>
      <c r="T6" s="1"/>
      <c r="U6" s="1"/>
      <c r="V6" s="1"/>
      <c r="W6" s="1"/>
      <c r="X6" s="1"/>
    </row>
    <row r="7" spans="1:24" ht="15.75" customHeight="1">
      <c r="A7" s="7" t="s">
        <v>10</v>
      </c>
      <c r="B7" s="29">
        <v>3</v>
      </c>
      <c r="C7" s="27">
        <v>6</v>
      </c>
      <c r="D7" s="27">
        <v>4</v>
      </c>
      <c r="E7" s="28">
        <v>5</v>
      </c>
      <c r="F7" s="27">
        <v>6</v>
      </c>
      <c r="G7" s="27">
        <v>2</v>
      </c>
      <c r="H7" s="27">
        <v>3</v>
      </c>
      <c r="I7" s="27">
        <v>5</v>
      </c>
      <c r="J7" s="29">
        <v>2</v>
      </c>
      <c r="K7" s="27">
        <v>6</v>
      </c>
      <c r="L7" s="27">
        <v>6</v>
      </c>
      <c r="M7" s="28">
        <v>7</v>
      </c>
      <c r="N7" s="27">
        <v>7</v>
      </c>
      <c r="O7" s="27">
        <v>4</v>
      </c>
      <c r="P7" s="27">
        <v>6</v>
      </c>
      <c r="Q7" s="28">
        <v>5</v>
      </c>
      <c r="R7" s="1"/>
      <c r="S7" s="1"/>
      <c r="T7" s="1"/>
      <c r="U7" s="1"/>
      <c r="V7" s="1"/>
      <c r="W7" s="1"/>
      <c r="X7" s="1"/>
    </row>
    <row r="8" spans="1:24" ht="15.75" customHeight="1">
      <c r="A8" s="7" t="s">
        <v>11</v>
      </c>
      <c r="B8" s="29">
        <v>1</v>
      </c>
      <c r="C8" s="27">
        <v>9</v>
      </c>
      <c r="D8" s="27">
        <v>5</v>
      </c>
      <c r="E8" s="28">
        <v>1</v>
      </c>
      <c r="F8" s="27">
        <v>9</v>
      </c>
      <c r="G8" s="27">
        <v>1</v>
      </c>
      <c r="H8" s="27">
        <v>3</v>
      </c>
      <c r="I8" s="27">
        <v>9</v>
      </c>
      <c r="J8" s="29">
        <v>7</v>
      </c>
      <c r="K8" s="27">
        <v>7</v>
      </c>
      <c r="L8" s="27">
        <v>8</v>
      </c>
      <c r="M8" s="28">
        <v>7</v>
      </c>
      <c r="N8" s="27">
        <v>8</v>
      </c>
      <c r="O8" s="27">
        <v>3</v>
      </c>
      <c r="P8" s="27">
        <v>4</v>
      </c>
      <c r="Q8" s="28">
        <v>7</v>
      </c>
      <c r="R8" s="1"/>
      <c r="S8" s="1"/>
      <c r="T8" s="1"/>
      <c r="U8" s="1"/>
      <c r="V8" s="1"/>
      <c r="W8" s="1"/>
      <c r="X8" s="1"/>
    </row>
    <row r="9" spans="1:24" ht="15.75" customHeight="1">
      <c r="A9" s="7" t="s">
        <v>12</v>
      </c>
      <c r="B9" s="29">
        <v>3</v>
      </c>
      <c r="C9" s="27">
        <v>7</v>
      </c>
      <c r="D9" s="27">
        <v>5</v>
      </c>
      <c r="E9" s="28">
        <v>3</v>
      </c>
      <c r="F9" s="27">
        <v>3</v>
      </c>
      <c r="G9" s="27">
        <v>1</v>
      </c>
      <c r="H9" s="27">
        <v>5</v>
      </c>
      <c r="I9" s="27">
        <v>1</v>
      </c>
      <c r="J9" s="29">
        <v>8</v>
      </c>
      <c r="K9" s="27">
        <v>7</v>
      </c>
      <c r="L9" s="27">
        <v>5</v>
      </c>
      <c r="M9" s="28">
        <v>7</v>
      </c>
      <c r="N9" s="27">
        <v>5</v>
      </c>
      <c r="O9" s="27">
        <v>5</v>
      </c>
      <c r="P9" s="27">
        <v>5</v>
      </c>
      <c r="Q9" s="28">
        <v>5</v>
      </c>
      <c r="R9" s="1"/>
      <c r="S9" s="1"/>
      <c r="T9" s="1"/>
      <c r="U9" s="1"/>
      <c r="V9" s="1"/>
      <c r="W9" s="1"/>
      <c r="X9" s="1"/>
    </row>
    <row r="10" spans="1:24" ht="15.75" customHeight="1">
      <c r="A10" s="7" t="s">
        <v>13</v>
      </c>
      <c r="B10" s="29">
        <v>2</v>
      </c>
      <c r="C10" s="27">
        <v>7</v>
      </c>
      <c r="D10" s="27">
        <v>4</v>
      </c>
      <c r="E10" s="28">
        <v>4</v>
      </c>
      <c r="F10" s="27">
        <v>6</v>
      </c>
      <c r="G10" s="27">
        <v>2</v>
      </c>
      <c r="H10" s="27">
        <v>5</v>
      </c>
      <c r="I10" s="27">
        <v>9</v>
      </c>
      <c r="J10" s="29">
        <v>1</v>
      </c>
      <c r="K10" s="27">
        <v>8</v>
      </c>
      <c r="L10" s="27">
        <v>5</v>
      </c>
      <c r="M10" s="28">
        <v>2</v>
      </c>
      <c r="N10" s="27">
        <v>8</v>
      </c>
      <c r="O10" s="27">
        <v>6</v>
      </c>
      <c r="P10" s="27">
        <v>5</v>
      </c>
      <c r="Q10" s="28">
        <v>5</v>
      </c>
      <c r="R10" s="1"/>
      <c r="S10" s="1"/>
      <c r="T10" s="1"/>
      <c r="U10" s="1"/>
      <c r="V10" s="1"/>
      <c r="W10" s="1"/>
      <c r="X10" s="1"/>
    </row>
    <row r="11" spans="1:24" ht="15.75" customHeight="1">
      <c r="A11" s="7" t="s">
        <v>14</v>
      </c>
      <c r="B11" s="29">
        <v>1</v>
      </c>
      <c r="C11" s="27">
        <v>9</v>
      </c>
      <c r="D11" s="27">
        <v>5</v>
      </c>
      <c r="E11" s="28">
        <v>1</v>
      </c>
      <c r="F11" s="27">
        <v>9</v>
      </c>
      <c r="G11" s="27">
        <v>1</v>
      </c>
      <c r="H11" s="27">
        <v>5</v>
      </c>
      <c r="I11" s="27">
        <v>9</v>
      </c>
      <c r="J11" s="29">
        <v>1</v>
      </c>
      <c r="K11" s="27">
        <v>6</v>
      </c>
      <c r="L11" s="27">
        <v>5</v>
      </c>
      <c r="M11" s="28">
        <v>5</v>
      </c>
      <c r="N11" s="27">
        <v>9</v>
      </c>
      <c r="O11" s="27">
        <v>9</v>
      </c>
      <c r="P11" s="27">
        <v>9</v>
      </c>
      <c r="Q11" s="28">
        <v>5</v>
      </c>
      <c r="R11" s="1"/>
      <c r="S11" s="1"/>
      <c r="T11" s="1"/>
      <c r="U11" s="1"/>
      <c r="V11" s="1"/>
      <c r="W11" s="1"/>
      <c r="X11" s="1"/>
    </row>
    <row r="12" spans="1:24" ht="15.75" customHeight="1">
      <c r="A12" s="7" t="s">
        <v>15</v>
      </c>
      <c r="B12" s="29">
        <v>2</v>
      </c>
      <c r="C12" s="27">
        <v>7</v>
      </c>
      <c r="D12" s="27">
        <v>3</v>
      </c>
      <c r="E12" s="28">
        <v>1</v>
      </c>
      <c r="F12" s="27">
        <v>6</v>
      </c>
      <c r="G12" s="27">
        <v>2</v>
      </c>
      <c r="H12" s="27">
        <v>6</v>
      </c>
      <c r="I12" s="27">
        <v>9</v>
      </c>
      <c r="J12" s="29">
        <v>6</v>
      </c>
      <c r="K12" s="27">
        <v>6</v>
      </c>
      <c r="L12" s="27">
        <v>8</v>
      </c>
      <c r="M12" s="28">
        <v>6</v>
      </c>
      <c r="N12" s="27">
        <v>3</v>
      </c>
      <c r="O12" s="27">
        <v>7</v>
      </c>
      <c r="P12" s="27">
        <v>7</v>
      </c>
      <c r="Q12" s="28">
        <v>6</v>
      </c>
      <c r="R12" s="1"/>
      <c r="S12" s="1"/>
      <c r="T12" s="1"/>
      <c r="U12" s="1"/>
      <c r="V12" s="1"/>
      <c r="W12" s="1"/>
      <c r="X12" s="1"/>
    </row>
    <row r="13" spans="1:24" ht="15.75" customHeight="1">
      <c r="A13" s="7" t="s">
        <v>16</v>
      </c>
      <c r="B13" s="29">
        <v>3</v>
      </c>
      <c r="C13" s="27">
        <v>3</v>
      </c>
      <c r="D13" s="27">
        <v>2</v>
      </c>
      <c r="E13" s="28">
        <v>7</v>
      </c>
      <c r="F13" s="27">
        <v>7</v>
      </c>
      <c r="G13" s="27">
        <v>7</v>
      </c>
      <c r="H13" s="27">
        <v>7</v>
      </c>
      <c r="I13" s="27">
        <v>7</v>
      </c>
      <c r="J13" s="29">
        <v>8</v>
      </c>
      <c r="K13" s="27">
        <v>8</v>
      </c>
      <c r="L13" s="27">
        <v>8</v>
      </c>
      <c r="M13" s="28">
        <v>8</v>
      </c>
      <c r="N13" s="27">
        <v>6</v>
      </c>
      <c r="O13" s="27">
        <v>6</v>
      </c>
      <c r="P13" s="27">
        <v>6</v>
      </c>
      <c r="Q13" s="28">
        <v>8</v>
      </c>
      <c r="R13" s="1"/>
      <c r="S13" s="1"/>
      <c r="T13" s="1"/>
      <c r="U13" s="1"/>
      <c r="V13" s="1"/>
      <c r="W13" s="1"/>
      <c r="X13" s="1"/>
    </row>
    <row r="14" spans="1:24" ht="15.75" customHeight="1">
      <c r="A14" s="7" t="s">
        <v>17</v>
      </c>
      <c r="B14" s="29">
        <v>8</v>
      </c>
      <c r="C14" s="27">
        <v>6</v>
      </c>
      <c r="D14" s="27">
        <v>3</v>
      </c>
      <c r="E14" s="28">
        <v>3</v>
      </c>
      <c r="F14" s="27">
        <v>2</v>
      </c>
      <c r="G14" s="27">
        <v>3</v>
      </c>
      <c r="H14" s="27">
        <v>6</v>
      </c>
      <c r="I14" s="27">
        <v>5</v>
      </c>
      <c r="J14" s="29">
        <v>6</v>
      </c>
      <c r="K14" s="27">
        <v>6</v>
      </c>
      <c r="L14" s="27">
        <v>1</v>
      </c>
      <c r="M14" s="28">
        <v>8</v>
      </c>
      <c r="N14" s="27">
        <v>3</v>
      </c>
      <c r="O14" s="27">
        <v>4</v>
      </c>
      <c r="P14" s="27">
        <v>8</v>
      </c>
      <c r="Q14" s="28">
        <v>6</v>
      </c>
      <c r="R14" s="1"/>
      <c r="S14" s="1"/>
      <c r="T14" s="1"/>
      <c r="U14" s="1"/>
      <c r="V14" s="1"/>
      <c r="W14" s="1"/>
      <c r="X14" s="1"/>
    </row>
    <row r="15" spans="1:24" ht="15.75" customHeight="1">
      <c r="A15" s="7" t="s">
        <v>18</v>
      </c>
      <c r="B15" s="29">
        <v>5</v>
      </c>
      <c r="C15" s="27">
        <v>3</v>
      </c>
      <c r="D15" s="27">
        <v>2</v>
      </c>
      <c r="E15" s="28">
        <v>1</v>
      </c>
      <c r="F15" s="27">
        <v>3</v>
      </c>
      <c r="G15" s="27">
        <v>3</v>
      </c>
      <c r="H15" s="27">
        <v>3</v>
      </c>
      <c r="I15" s="27">
        <v>5</v>
      </c>
      <c r="J15" s="29">
        <v>8</v>
      </c>
      <c r="K15" s="27">
        <v>8</v>
      </c>
      <c r="L15" s="27">
        <v>8</v>
      </c>
      <c r="M15" s="28">
        <v>6</v>
      </c>
      <c r="N15" s="27">
        <v>2</v>
      </c>
      <c r="O15" s="27">
        <v>2</v>
      </c>
      <c r="P15" s="27">
        <v>2</v>
      </c>
      <c r="Q15" s="28">
        <v>7</v>
      </c>
      <c r="R15" s="1"/>
      <c r="S15" s="1"/>
      <c r="T15" s="1"/>
      <c r="U15" s="1"/>
      <c r="V15" s="1"/>
      <c r="W15" s="1"/>
      <c r="X15" s="1"/>
    </row>
    <row r="16" spans="1:24" ht="15.75" customHeight="1">
      <c r="A16" s="7" t="s">
        <v>19</v>
      </c>
      <c r="B16" s="29">
        <v>1</v>
      </c>
      <c r="C16" s="27">
        <v>1</v>
      </c>
      <c r="D16" s="27">
        <v>1</v>
      </c>
      <c r="E16" s="28">
        <v>9</v>
      </c>
      <c r="F16" s="27">
        <v>5</v>
      </c>
      <c r="G16" s="27">
        <v>9</v>
      </c>
      <c r="H16" s="27">
        <v>5</v>
      </c>
      <c r="I16" s="27">
        <v>9</v>
      </c>
      <c r="J16" s="29">
        <v>5</v>
      </c>
      <c r="K16" s="27">
        <v>5</v>
      </c>
      <c r="L16" s="27">
        <v>5</v>
      </c>
      <c r="M16" s="28">
        <v>5</v>
      </c>
      <c r="N16" s="27">
        <v>9</v>
      </c>
      <c r="O16" s="27">
        <v>9</v>
      </c>
      <c r="P16" s="27">
        <v>5</v>
      </c>
      <c r="Q16" s="28">
        <v>9</v>
      </c>
      <c r="R16" s="1"/>
      <c r="S16" s="1"/>
      <c r="T16" s="1"/>
      <c r="U16" s="1"/>
      <c r="V16" s="1"/>
      <c r="W16" s="1"/>
      <c r="X16" s="1"/>
    </row>
    <row r="17" spans="1:24" ht="15.75" customHeight="1">
      <c r="A17" s="43" t="s">
        <v>20</v>
      </c>
      <c r="B17" s="40">
        <v>3</v>
      </c>
      <c r="C17" s="41">
        <v>8</v>
      </c>
      <c r="D17" s="41">
        <v>5</v>
      </c>
      <c r="E17" s="42">
        <v>5</v>
      </c>
      <c r="F17" s="41">
        <v>7</v>
      </c>
      <c r="G17" s="41">
        <v>2</v>
      </c>
      <c r="H17" s="41">
        <v>5</v>
      </c>
      <c r="I17" s="41">
        <v>8</v>
      </c>
      <c r="J17" s="40">
        <v>6</v>
      </c>
      <c r="K17" s="41">
        <v>7</v>
      </c>
      <c r="L17" s="41">
        <v>5</v>
      </c>
      <c r="M17" s="42">
        <v>7</v>
      </c>
      <c r="N17" s="41">
        <v>7</v>
      </c>
      <c r="O17" s="41">
        <v>2</v>
      </c>
      <c r="P17" s="41">
        <v>5</v>
      </c>
      <c r="Q17" s="42">
        <v>7</v>
      </c>
      <c r="R17" s="1"/>
      <c r="S17" s="1"/>
      <c r="T17" s="1"/>
      <c r="U17" s="1"/>
      <c r="V17" s="1"/>
      <c r="W17" s="1"/>
      <c r="X17" s="1"/>
    </row>
    <row r="18" spans="1:24" ht="15.75" customHeight="1">
      <c r="A18" s="8" t="s">
        <v>21</v>
      </c>
      <c r="B18" s="30">
        <f t="shared" ref="B18:M18" si="0">AVERAGE(B3:B17)</f>
        <v>3.3333333333333335</v>
      </c>
      <c r="C18" s="31">
        <f t="shared" si="0"/>
        <v>6.2666666666666666</v>
      </c>
      <c r="D18" s="31">
        <f t="shared" si="0"/>
        <v>3.3333333333333335</v>
      </c>
      <c r="E18" s="32">
        <f t="shared" si="0"/>
        <v>3.4666666666666668</v>
      </c>
      <c r="F18" s="31">
        <f t="shared" si="0"/>
        <v>5.4666666666666668</v>
      </c>
      <c r="G18" s="31">
        <f t="shared" si="0"/>
        <v>2.8666666666666667</v>
      </c>
      <c r="H18" s="31">
        <f t="shared" si="0"/>
        <v>5.0666666666666664</v>
      </c>
      <c r="I18" s="31">
        <f t="shared" si="0"/>
        <v>7</v>
      </c>
      <c r="J18" s="30">
        <f t="shared" si="0"/>
        <v>5.2</v>
      </c>
      <c r="K18" s="31">
        <f t="shared" si="0"/>
        <v>7.0666666666666664</v>
      </c>
      <c r="L18" s="31">
        <f t="shared" si="0"/>
        <v>6</v>
      </c>
      <c r="M18" s="32">
        <f t="shared" si="0"/>
        <v>6.333333333333333</v>
      </c>
      <c r="N18" s="31">
        <f>AVERAGE(N3:N17)</f>
        <v>6</v>
      </c>
      <c r="O18" s="31">
        <f>AVERAGE(O3:O17)</f>
        <v>5.4</v>
      </c>
      <c r="P18" s="31">
        <f>AVERAGE(P3:P17)</f>
        <v>6</v>
      </c>
      <c r="Q18" s="32">
        <f>AVERAGE(Q3:Q17)</f>
        <v>6.6</v>
      </c>
      <c r="R18" s="22"/>
      <c r="S18" s="22"/>
      <c r="T18" s="22"/>
      <c r="U18" s="22"/>
      <c r="V18" s="22"/>
      <c r="W18" s="22"/>
      <c r="X18" s="22"/>
    </row>
    <row r="19" spans="1:24" ht="15.75" customHeight="1">
      <c r="A19" s="9" t="s">
        <v>22</v>
      </c>
      <c r="B19" s="33">
        <f t="shared" ref="B19:M19" si="1">STDEV(B3:B17)</f>
        <v>2.4397501823713332</v>
      </c>
      <c r="C19" s="34">
        <f t="shared" si="1"/>
        <v>2.2824381283013579</v>
      </c>
      <c r="D19" s="34">
        <f t="shared" si="1"/>
        <v>1.447493728911492</v>
      </c>
      <c r="E19" s="35">
        <f t="shared" si="1"/>
        <v>2.3864697976798479</v>
      </c>
      <c r="F19" s="34">
        <f t="shared" si="1"/>
        <v>2.5317037365228598</v>
      </c>
      <c r="G19" s="34">
        <f t="shared" si="1"/>
        <v>2.2318047362958033</v>
      </c>
      <c r="H19" s="34">
        <f t="shared" si="1"/>
        <v>1.4864467059144131</v>
      </c>
      <c r="I19" s="34">
        <f t="shared" si="1"/>
        <v>2.2360679774997898</v>
      </c>
      <c r="J19" s="33">
        <f t="shared" si="1"/>
        <v>2.6779523094014519</v>
      </c>
      <c r="K19" s="34">
        <f t="shared" si="1"/>
        <v>1.0997835284835855</v>
      </c>
      <c r="L19" s="34">
        <f t="shared" si="1"/>
        <v>2.0354009783964297</v>
      </c>
      <c r="M19" s="35">
        <f t="shared" si="1"/>
        <v>1.5430334996209201</v>
      </c>
      <c r="N19" s="34">
        <f>STDEV(N3:N17)</f>
        <v>2.1380899352993952</v>
      </c>
      <c r="O19" s="34">
        <f>STDEV(O3:O17)</f>
        <v>2.1646510771286644</v>
      </c>
      <c r="P19" s="34">
        <f>STDEV(P3:P17)</f>
        <v>1.8126539343499315</v>
      </c>
      <c r="Q19" s="35">
        <f>STDEV(Q3:Q17)</f>
        <v>1.298350602000202</v>
      </c>
      <c r="R19" s="22"/>
      <c r="S19" s="22"/>
      <c r="T19" s="22"/>
      <c r="U19" s="22"/>
      <c r="V19" s="22"/>
      <c r="W19" s="22"/>
      <c r="X19" s="22"/>
    </row>
    <row r="20" spans="1:24" ht="16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s="23" customFormat="1" ht="70" customHeight="1">
      <c r="A21" s="6" t="s">
        <v>23</v>
      </c>
      <c r="B21" s="46" t="s">
        <v>24</v>
      </c>
      <c r="C21" s="46"/>
      <c r="D21" s="46"/>
      <c r="E21" s="46"/>
      <c r="F21" s="46" t="s">
        <v>25</v>
      </c>
      <c r="G21" s="46"/>
      <c r="H21" s="46"/>
      <c r="I21" s="46"/>
      <c r="J21" s="46" t="s">
        <v>39</v>
      </c>
      <c r="K21" s="46"/>
      <c r="L21" s="46"/>
      <c r="M21" s="4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spans="1:24" s="21" customFormat="1" ht="34">
      <c r="A22" s="15" t="s">
        <v>1</v>
      </c>
      <c r="B22" s="6" t="s">
        <v>35</v>
      </c>
      <c r="C22" s="6" t="s">
        <v>36</v>
      </c>
      <c r="D22" s="6" t="s">
        <v>37</v>
      </c>
      <c r="E22" s="6" t="s">
        <v>38</v>
      </c>
      <c r="F22" s="6" t="s">
        <v>35</v>
      </c>
      <c r="G22" s="6" t="s">
        <v>36</v>
      </c>
      <c r="H22" s="6" t="s">
        <v>37</v>
      </c>
      <c r="I22" s="6" t="s">
        <v>38</v>
      </c>
      <c r="J22" s="6" t="s">
        <v>35</v>
      </c>
      <c r="K22" s="6" t="s">
        <v>36</v>
      </c>
      <c r="L22" s="6" t="s">
        <v>37</v>
      </c>
      <c r="M22" s="6" t="s">
        <v>38</v>
      </c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spans="1:24" ht="15.75" customHeight="1">
      <c r="A23" s="7" t="s">
        <v>6</v>
      </c>
      <c r="B23" s="24">
        <v>5</v>
      </c>
      <c r="C23" s="27">
        <v>2</v>
      </c>
      <c r="D23" s="27">
        <v>2</v>
      </c>
      <c r="E23" s="27">
        <v>3</v>
      </c>
      <c r="F23" s="24">
        <v>8</v>
      </c>
      <c r="G23" s="25">
        <v>7</v>
      </c>
      <c r="H23" s="25">
        <v>6</v>
      </c>
      <c r="I23" s="26">
        <v>7</v>
      </c>
      <c r="J23" s="27">
        <v>2</v>
      </c>
      <c r="K23" s="27">
        <v>8</v>
      </c>
      <c r="L23" s="27">
        <v>6</v>
      </c>
      <c r="M23" s="28">
        <v>3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customHeight="1">
      <c r="A24" s="7" t="s">
        <v>7</v>
      </c>
      <c r="B24" s="29">
        <v>2</v>
      </c>
      <c r="C24" s="27">
        <v>1</v>
      </c>
      <c r="D24" s="27">
        <v>1</v>
      </c>
      <c r="E24" s="27">
        <v>8</v>
      </c>
      <c r="F24" s="29">
        <v>9</v>
      </c>
      <c r="G24" s="27">
        <v>9</v>
      </c>
      <c r="H24" s="27">
        <v>9</v>
      </c>
      <c r="I24" s="28">
        <v>8</v>
      </c>
      <c r="J24" s="27">
        <v>1</v>
      </c>
      <c r="K24" s="27">
        <v>7</v>
      </c>
      <c r="L24" s="27">
        <v>2</v>
      </c>
      <c r="M24" s="28">
        <v>1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customHeight="1">
      <c r="A25" s="7" t="s">
        <v>8</v>
      </c>
      <c r="B25" s="29">
        <v>7</v>
      </c>
      <c r="C25" s="27">
        <v>3</v>
      </c>
      <c r="D25" s="27">
        <v>3</v>
      </c>
      <c r="E25" s="27">
        <v>5</v>
      </c>
      <c r="F25" s="29">
        <v>9</v>
      </c>
      <c r="G25" s="27">
        <v>6</v>
      </c>
      <c r="H25" s="27">
        <v>5</v>
      </c>
      <c r="I25" s="28">
        <v>5</v>
      </c>
      <c r="J25" s="27">
        <v>1</v>
      </c>
      <c r="K25" s="27">
        <v>7</v>
      </c>
      <c r="L25" s="27">
        <v>7</v>
      </c>
      <c r="M25" s="28">
        <v>5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customHeight="1">
      <c r="A26" s="7" t="s">
        <v>9</v>
      </c>
      <c r="B26" s="29">
        <v>1</v>
      </c>
      <c r="C26" s="27">
        <v>1</v>
      </c>
      <c r="D26" s="27">
        <v>1</v>
      </c>
      <c r="E26" s="27">
        <v>1</v>
      </c>
      <c r="F26" s="29">
        <v>9</v>
      </c>
      <c r="G26" s="27">
        <v>7</v>
      </c>
      <c r="H26" s="27">
        <v>8</v>
      </c>
      <c r="I26" s="28">
        <v>5</v>
      </c>
      <c r="J26" s="27">
        <v>3</v>
      </c>
      <c r="K26" s="27">
        <v>7</v>
      </c>
      <c r="L26" s="27">
        <v>4</v>
      </c>
      <c r="M26" s="28">
        <v>2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customHeight="1">
      <c r="A27" s="7" t="s">
        <v>10</v>
      </c>
      <c r="B27" s="29">
        <v>2</v>
      </c>
      <c r="C27" s="27">
        <v>2</v>
      </c>
      <c r="D27" s="27">
        <v>6</v>
      </c>
      <c r="E27" s="27">
        <v>6</v>
      </c>
      <c r="F27" s="29">
        <v>7</v>
      </c>
      <c r="G27" s="27">
        <v>6</v>
      </c>
      <c r="H27" s="27">
        <v>4</v>
      </c>
      <c r="I27" s="28">
        <v>4</v>
      </c>
      <c r="J27" s="27">
        <v>6</v>
      </c>
      <c r="K27" s="27">
        <v>6</v>
      </c>
      <c r="L27" s="27">
        <v>3</v>
      </c>
      <c r="M27" s="28">
        <v>2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customHeight="1">
      <c r="A28" s="7" t="s">
        <v>11</v>
      </c>
      <c r="B28" s="29">
        <v>6</v>
      </c>
      <c r="C28" s="27">
        <v>1</v>
      </c>
      <c r="D28" s="27">
        <v>2</v>
      </c>
      <c r="E28" s="27">
        <v>3</v>
      </c>
      <c r="F28" s="29">
        <v>9</v>
      </c>
      <c r="G28" s="27">
        <v>7</v>
      </c>
      <c r="H28" s="27">
        <v>8</v>
      </c>
      <c r="I28" s="28">
        <v>8</v>
      </c>
      <c r="J28" s="27">
        <v>1</v>
      </c>
      <c r="K28" s="27">
        <v>9</v>
      </c>
      <c r="L28" s="27">
        <v>3</v>
      </c>
      <c r="M28" s="28">
        <v>2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customHeight="1">
      <c r="A29" s="7" t="s">
        <v>12</v>
      </c>
      <c r="B29" s="29">
        <v>5</v>
      </c>
      <c r="C29" s="27">
        <v>3</v>
      </c>
      <c r="D29" s="27">
        <v>3</v>
      </c>
      <c r="E29" s="27">
        <v>1</v>
      </c>
      <c r="F29" s="29">
        <v>7</v>
      </c>
      <c r="G29" s="27">
        <v>8</v>
      </c>
      <c r="H29" s="27">
        <v>7</v>
      </c>
      <c r="I29" s="28">
        <v>7</v>
      </c>
      <c r="J29" s="27">
        <v>7</v>
      </c>
      <c r="K29" s="27">
        <v>5</v>
      </c>
      <c r="L29" s="27">
        <v>7</v>
      </c>
      <c r="M29" s="28">
        <v>3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customHeight="1">
      <c r="A30" s="7" t="s">
        <v>13</v>
      </c>
      <c r="B30" s="29">
        <v>3</v>
      </c>
      <c r="C30" s="27">
        <v>2</v>
      </c>
      <c r="D30" s="27">
        <v>1</v>
      </c>
      <c r="E30" s="27">
        <v>7</v>
      </c>
      <c r="F30" s="29">
        <v>6</v>
      </c>
      <c r="G30" s="27">
        <v>8</v>
      </c>
      <c r="H30" s="27">
        <v>7</v>
      </c>
      <c r="I30" s="28">
        <v>5</v>
      </c>
      <c r="J30" s="27">
        <v>8</v>
      </c>
      <c r="K30" s="27">
        <v>8</v>
      </c>
      <c r="L30" s="27">
        <v>9</v>
      </c>
      <c r="M30" s="28">
        <v>5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customHeight="1">
      <c r="A31" s="7" t="s">
        <v>14</v>
      </c>
      <c r="B31" s="29">
        <v>9</v>
      </c>
      <c r="C31" s="27">
        <v>1</v>
      </c>
      <c r="D31" s="27">
        <v>5</v>
      </c>
      <c r="E31" s="27">
        <v>9</v>
      </c>
      <c r="F31" s="29">
        <v>7</v>
      </c>
      <c r="G31" s="27">
        <v>9</v>
      </c>
      <c r="H31" s="27">
        <v>5</v>
      </c>
      <c r="I31" s="28">
        <v>7</v>
      </c>
      <c r="J31" s="27">
        <v>1</v>
      </c>
      <c r="K31" s="27">
        <v>5</v>
      </c>
      <c r="L31" s="27">
        <v>5</v>
      </c>
      <c r="M31" s="28">
        <v>1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customHeight="1">
      <c r="A32" s="7" t="s">
        <v>15</v>
      </c>
      <c r="B32" s="29">
        <v>7</v>
      </c>
      <c r="C32" s="27">
        <v>2</v>
      </c>
      <c r="D32" s="27">
        <v>3</v>
      </c>
      <c r="E32" s="27">
        <v>9</v>
      </c>
      <c r="F32" s="29">
        <v>9</v>
      </c>
      <c r="G32" s="27">
        <v>7</v>
      </c>
      <c r="H32" s="27">
        <v>6</v>
      </c>
      <c r="I32" s="28">
        <v>7</v>
      </c>
      <c r="J32" s="27">
        <v>1</v>
      </c>
      <c r="K32" s="27">
        <v>7</v>
      </c>
      <c r="L32" s="27">
        <v>3</v>
      </c>
      <c r="M32" s="28">
        <v>1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customHeight="1">
      <c r="A33" s="7" t="s">
        <v>16</v>
      </c>
      <c r="B33" s="29">
        <v>7</v>
      </c>
      <c r="C33" s="27">
        <v>3</v>
      </c>
      <c r="D33" s="27">
        <v>4</v>
      </c>
      <c r="E33" s="27">
        <v>7</v>
      </c>
      <c r="F33" s="29">
        <v>8</v>
      </c>
      <c r="G33" s="27">
        <v>7</v>
      </c>
      <c r="H33" s="27">
        <v>7</v>
      </c>
      <c r="I33" s="28">
        <v>7</v>
      </c>
      <c r="J33" s="27">
        <v>2</v>
      </c>
      <c r="K33" s="27">
        <v>6</v>
      </c>
      <c r="L33" s="27">
        <v>6</v>
      </c>
      <c r="M33" s="28">
        <v>6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customHeight="1">
      <c r="A34" s="7" t="s">
        <v>17</v>
      </c>
      <c r="B34" s="29">
        <v>6</v>
      </c>
      <c r="C34" s="27">
        <v>1</v>
      </c>
      <c r="D34" s="27">
        <v>1</v>
      </c>
      <c r="E34" s="27">
        <v>8</v>
      </c>
      <c r="F34" s="29">
        <v>8</v>
      </c>
      <c r="G34" s="27">
        <v>7</v>
      </c>
      <c r="H34" s="27">
        <v>7</v>
      </c>
      <c r="I34" s="28">
        <v>7</v>
      </c>
      <c r="J34" s="27">
        <v>6</v>
      </c>
      <c r="K34" s="27">
        <v>9</v>
      </c>
      <c r="L34" s="27">
        <v>7</v>
      </c>
      <c r="M34" s="28">
        <v>2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customHeight="1">
      <c r="A35" s="7" t="s">
        <v>18</v>
      </c>
      <c r="B35" s="29">
        <v>5</v>
      </c>
      <c r="C35" s="27">
        <v>1</v>
      </c>
      <c r="D35" s="27">
        <v>4</v>
      </c>
      <c r="E35" s="27">
        <v>9</v>
      </c>
      <c r="F35" s="29">
        <v>5</v>
      </c>
      <c r="G35" s="27">
        <v>8</v>
      </c>
      <c r="H35" s="27">
        <v>8</v>
      </c>
      <c r="I35" s="28">
        <v>8</v>
      </c>
      <c r="J35" s="27">
        <v>2</v>
      </c>
      <c r="K35" s="27">
        <v>5</v>
      </c>
      <c r="L35" s="27">
        <v>1</v>
      </c>
      <c r="M35" s="28">
        <v>1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customHeight="1">
      <c r="A36" s="7" t="s">
        <v>19</v>
      </c>
      <c r="B36" s="29">
        <v>9</v>
      </c>
      <c r="C36" s="27">
        <v>1</v>
      </c>
      <c r="D36" s="27">
        <v>1</v>
      </c>
      <c r="E36" s="27">
        <v>9</v>
      </c>
      <c r="F36" s="29">
        <v>9</v>
      </c>
      <c r="G36" s="27">
        <v>9</v>
      </c>
      <c r="H36" s="27">
        <v>5</v>
      </c>
      <c r="I36" s="28">
        <v>9</v>
      </c>
      <c r="J36" s="27">
        <v>1</v>
      </c>
      <c r="K36" s="27">
        <v>1</v>
      </c>
      <c r="L36" s="27">
        <v>9</v>
      </c>
      <c r="M36" s="28">
        <v>1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customHeight="1">
      <c r="A37" s="7" t="s">
        <v>20</v>
      </c>
      <c r="B37" s="29">
        <v>3</v>
      </c>
      <c r="C37" s="27">
        <v>1</v>
      </c>
      <c r="D37" s="27">
        <v>3</v>
      </c>
      <c r="E37" s="27">
        <v>7</v>
      </c>
      <c r="F37" s="29">
        <v>7</v>
      </c>
      <c r="G37" s="27">
        <v>7</v>
      </c>
      <c r="H37" s="27">
        <v>7</v>
      </c>
      <c r="I37" s="28">
        <v>5</v>
      </c>
      <c r="J37" s="27">
        <v>5</v>
      </c>
      <c r="K37" s="27">
        <v>6</v>
      </c>
      <c r="L37" s="27">
        <v>6</v>
      </c>
      <c r="M37" s="28">
        <v>5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customHeight="1">
      <c r="A38" s="10" t="s">
        <v>21</v>
      </c>
      <c r="B38" s="38">
        <f t="shared" ref="B38:M38" si="2">AVERAGE(B23:B37)</f>
        <v>5.1333333333333337</v>
      </c>
      <c r="C38" s="36">
        <f t="shared" si="2"/>
        <v>1.6666666666666667</v>
      </c>
      <c r="D38" s="36">
        <f t="shared" si="2"/>
        <v>2.6666666666666665</v>
      </c>
      <c r="E38" s="36">
        <f t="shared" si="2"/>
        <v>6.1333333333333337</v>
      </c>
      <c r="F38" s="38">
        <f t="shared" si="2"/>
        <v>7.8</v>
      </c>
      <c r="G38" s="36">
        <f t="shared" si="2"/>
        <v>7.4666666666666668</v>
      </c>
      <c r="H38" s="36">
        <f t="shared" si="2"/>
        <v>6.6</v>
      </c>
      <c r="I38" s="37">
        <f t="shared" si="2"/>
        <v>6.6</v>
      </c>
      <c r="J38" s="36">
        <f t="shared" si="2"/>
        <v>3.1333333333333333</v>
      </c>
      <c r="K38" s="36">
        <f t="shared" si="2"/>
        <v>6.4</v>
      </c>
      <c r="L38" s="36">
        <f t="shared" si="2"/>
        <v>5.2</v>
      </c>
      <c r="M38" s="37">
        <f t="shared" si="2"/>
        <v>2.6666666666666665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customHeight="1">
      <c r="A39" s="9" t="s">
        <v>22</v>
      </c>
      <c r="B39" s="33">
        <f t="shared" ref="B39:M39" si="3">STDEV(B23:B37)</f>
        <v>2.503331114069145</v>
      </c>
      <c r="C39" s="34">
        <f t="shared" si="3"/>
        <v>0.81649658092772615</v>
      </c>
      <c r="D39" s="34">
        <f t="shared" si="3"/>
        <v>1.5886502207249786</v>
      </c>
      <c r="E39" s="34">
        <f t="shared" si="3"/>
        <v>2.8751811537130436</v>
      </c>
      <c r="F39" s="33">
        <f t="shared" si="3"/>
        <v>1.2649110640673511</v>
      </c>
      <c r="G39" s="34">
        <f t="shared" si="3"/>
        <v>0.99043040187202558</v>
      </c>
      <c r="H39" s="34">
        <f t="shared" si="3"/>
        <v>1.404075700034928</v>
      </c>
      <c r="I39" s="35">
        <f t="shared" si="3"/>
        <v>1.4540583599999404</v>
      </c>
      <c r="J39" s="34">
        <f t="shared" si="3"/>
        <v>2.5317037365228594</v>
      </c>
      <c r="K39" s="34">
        <f t="shared" si="3"/>
        <v>1.9928443419967785</v>
      </c>
      <c r="L39" s="34">
        <f t="shared" si="3"/>
        <v>2.4553149347021508</v>
      </c>
      <c r="M39" s="35">
        <f t="shared" si="3"/>
        <v>1.7593288763724919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6">
      <c r="A40" s="11"/>
      <c r="B40" s="4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s="21" customFormat="1" ht="70" customHeight="1">
      <c r="A41" s="6" t="s">
        <v>26</v>
      </c>
      <c r="B41" s="46" t="s">
        <v>27</v>
      </c>
      <c r="C41" s="46"/>
      <c r="D41" s="46"/>
      <c r="E41" s="46"/>
      <c r="F41" s="46" t="s">
        <v>28</v>
      </c>
      <c r="G41" s="46"/>
      <c r="H41" s="46"/>
      <c r="I41" s="46"/>
      <c r="J41" s="46" t="s">
        <v>29</v>
      </c>
      <c r="K41" s="46"/>
      <c r="L41" s="46"/>
      <c r="M41" s="46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</row>
    <row r="42" spans="1:24" s="21" customFormat="1" ht="34">
      <c r="A42" s="6" t="s">
        <v>1</v>
      </c>
      <c r="B42" s="6" t="s">
        <v>35</v>
      </c>
      <c r="C42" s="6" t="s">
        <v>36</v>
      </c>
      <c r="D42" s="6" t="s">
        <v>37</v>
      </c>
      <c r="E42" s="6" t="s">
        <v>38</v>
      </c>
      <c r="F42" s="6" t="s">
        <v>35</v>
      </c>
      <c r="G42" s="6" t="s">
        <v>36</v>
      </c>
      <c r="H42" s="6" t="s">
        <v>37</v>
      </c>
      <c r="I42" s="6" t="s">
        <v>38</v>
      </c>
      <c r="J42" s="6" t="s">
        <v>35</v>
      </c>
      <c r="K42" s="6" t="s">
        <v>36</v>
      </c>
      <c r="L42" s="6" t="s">
        <v>37</v>
      </c>
      <c r="M42" s="6" t="s">
        <v>38</v>
      </c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</row>
    <row r="43" spans="1:24" ht="15.75" customHeight="1">
      <c r="A43" s="7" t="s">
        <v>6</v>
      </c>
      <c r="B43" s="24">
        <v>6</v>
      </c>
      <c r="C43" s="27">
        <v>8</v>
      </c>
      <c r="D43" s="27">
        <v>7</v>
      </c>
      <c r="E43" s="27">
        <v>4</v>
      </c>
      <c r="F43" s="24">
        <v>5</v>
      </c>
      <c r="G43" s="25">
        <v>4</v>
      </c>
      <c r="H43" s="25">
        <v>3</v>
      </c>
      <c r="I43" s="26">
        <v>6</v>
      </c>
      <c r="J43" s="27">
        <v>7</v>
      </c>
      <c r="K43" s="27">
        <v>3</v>
      </c>
      <c r="L43" s="27">
        <v>4</v>
      </c>
      <c r="M43" s="28">
        <v>8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customHeight="1">
      <c r="A44" s="7" t="s">
        <v>7</v>
      </c>
      <c r="B44" s="29">
        <v>7</v>
      </c>
      <c r="C44" s="27">
        <v>7</v>
      </c>
      <c r="D44" s="27">
        <v>8</v>
      </c>
      <c r="E44" s="27">
        <v>3</v>
      </c>
      <c r="F44" s="29">
        <v>5</v>
      </c>
      <c r="G44" s="27">
        <v>8</v>
      </c>
      <c r="H44" s="27">
        <v>6</v>
      </c>
      <c r="I44" s="28">
        <v>5</v>
      </c>
      <c r="J44" s="27">
        <v>8</v>
      </c>
      <c r="K44" s="27">
        <v>6</v>
      </c>
      <c r="L44" s="27">
        <v>4</v>
      </c>
      <c r="M44" s="28">
        <v>8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customHeight="1">
      <c r="A45" s="7" t="s">
        <v>8</v>
      </c>
      <c r="B45" s="29">
        <v>7</v>
      </c>
      <c r="C45" s="27">
        <v>7</v>
      </c>
      <c r="D45" s="27">
        <v>7</v>
      </c>
      <c r="E45" s="27">
        <v>6</v>
      </c>
      <c r="F45" s="29">
        <v>4</v>
      </c>
      <c r="G45" s="27">
        <v>3</v>
      </c>
      <c r="H45" s="27">
        <v>3</v>
      </c>
      <c r="I45" s="28">
        <v>4</v>
      </c>
      <c r="J45" s="27">
        <v>8</v>
      </c>
      <c r="K45" s="27">
        <v>3</v>
      </c>
      <c r="L45" s="27">
        <v>3</v>
      </c>
      <c r="M45" s="28">
        <v>6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customHeight="1">
      <c r="A46" s="7" t="s">
        <v>9</v>
      </c>
      <c r="B46" s="29">
        <v>7</v>
      </c>
      <c r="C46" s="27">
        <v>7</v>
      </c>
      <c r="D46" s="27">
        <v>5</v>
      </c>
      <c r="E46" s="27">
        <v>6</v>
      </c>
      <c r="F46" s="29">
        <v>7</v>
      </c>
      <c r="G46" s="27">
        <v>5</v>
      </c>
      <c r="H46" s="27">
        <v>5</v>
      </c>
      <c r="I46" s="28">
        <v>8</v>
      </c>
      <c r="J46" s="27">
        <v>5</v>
      </c>
      <c r="K46" s="27">
        <v>2</v>
      </c>
      <c r="L46" s="27">
        <v>2</v>
      </c>
      <c r="M46" s="28">
        <v>9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customHeight="1">
      <c r="A47" s="7" t="s">
        <v>10</v>
      </c>
      <c r="B47" s="29">
        <v>6</v>
      </c>
      <c r="C47" s="27">
        <v>6</v>
      </c>
      <c r="D47" s="27">
        <v>6</v>
      </c>
      <c r="E47" s="27">
        <v>7</v>
      </c>
      <c r="F47" s="29">
        <v>7</v>
      </c>
      <c r="G47" s="27">
        <v>4</v>
      </c>
      <c r="H47" s="27">
        <v>3</v>
      </c>
      <c r="I47" s="28">
        <v>3</v>
      </c>
      <c r="J47" s="27">
        <v>7</v>
      </c>
      <c r="K47" s="27">
        <v>3</v>
      </c>
      <c r="L47" s="27">
        <v>3</v>
      </c>
      <c r="M47" s="28">
        <v>7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customHeight="1">
      <c r="A48" s="7" t="s">
        <v>11</v>
      </c>
      <c r="B48" s="29">
        <v>6</v>
      </c>
      <c r="C48" s="27">
        <v>8</v>
      </c>
      <c r="D48" s="27">
        <v>7</v>
      </c>
      <c r="E48" s="27">
        <v>6</v>
      </c>
      <c r="F48" s="29">
        <v>5</v>
      </c>
      <c r="G48" s="27">
        <v>4</v>
      </c>
      <c r="H48" s="27">
        <v>2</v>
      </c>
      <c r="I48" s="28">
        <v>8</v>
      </c>
      <c r="J48" s="27">
        <v>3</v>
      </c>
      <c r="K48" s="27">
        <v>3</v>
      </c>
      <c r="L48" s="27">
        <v>2</v>
      </c>
      <c r="M48" s="28">
        <v>9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customHeight="1">
      <c r="A49" s="7" t="s">
        <v>12</v>
      </c>
      <c r="B49" s="29">
        <v>5</v>
      </c>
      <c r="C49" s="27">
        <v>8</v>
      </c>
      <c r="D49" s="27">
        <v>6</v>
      </c>
      <c r="E49" s="27">
        <v>5</v>
      </c>
      <c r="F49" s="29">
        <v>5</v>
      </c>
      <c r="G49" s="27">
        <v>5</v>
      </c>
      <c r="H49" s="27">
        <v>6</v>
      </c>
      <c r="I49" s="28">
        <v>4</v>
      </c>
      <c r="J49" s="27">
        <v>5</v>
      </c>
      <c r="K49" s="27">
        <v>3</v>
      </c>
      <c r="L49" s="27">
        <v>3</v>
      </c>
      <c r="M49" s="28">
        <v>3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customHeight="1">
      <c r="A50" s="7" t="s">
        <v>13</v>
      </c>
      <c r="B50" s="29">
        <v>2</v>
      </c>
      <c r="C50" s="27">
        <v>8</v>
      </c>
      <c r="D50" s="27">
        <v>6</v>
      </c>
      <c r="E50" s="27">
        <v>5</v>
      </c>
      <c r="F50" s="29">
        <v>6</v>
      </c>
      <c r="G50" s="27">
        <v>7</v>
      </c>
      <c r="H50" s="27">
        <v>2</v>
      </c>
      <c r="I50" s="28">
        <v>5</v>
      </c>
      <c r="J50" s="27">
        <v>6</v>
      </c>
      <c r="K50" s="27">
        <v>2</v>
      </c>
      <c r="L50" s="27">
        <v>5</v>
      </c>
      <c r="M50" s="28">
        <v>9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customHeight="1">
      <c r="A51" s="7" t="s">
        <v>14</v>
      </c>
      <c r="B51" s="29">
        <v>8</v>
      </c>
      <c r="C51" s="27">
        <v>9</v>
      </c>
      <c r="D51" s="27">
        <v>9</v>
      </c>
      <c r="E51" s="27">
        <v>5</v>
      </c>
      <c r="F51" s="29">
        <v>5</v>
      </c>
      <c r="G51" s="27">
        <v>7</v>
      </c>
      <c r="H51" s="27">
        <v>7</v>
      </c>
      <c r="I51" s="28">
        <v>1</v>
      </c>
      <c r="J51" s="27">
        <v>5</v>
      </c>
      <c r="K51" s="27">
        <v>1</v>
      </c>
      <c r="L51" s="27">
        <v>1</v>
      </c>
      <c r="M51" s="28">
        <v>1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customHeight="1">
      <c r="A52" s="7" t="s">
        <v>15</v>
      </c>
      <c r="B52" s="29">
        <v>5</v>
      </c>
      <c r="C52" s="27">
        <v>8</v>
      </c>
      <c r="D52" s="27">
        <v>6</v>
      </c>
      <c r="E52" s="27">
        <v>3</v>
      </c>
      <c r="F52" s="29">
        <v>7</v>
      </c>
      <c r="G52" s="27">
        <v>5</v>
      </c>
      <c r="H52" s="27">
        <v>3</v>
      </c>
      <c r="I52" s="28">
        <v>8</v>
      </c>
      <c r="J52" s="27">
        <v>6</v>
      </c>
      <c r="K52" s="27">
        <v>3</v>
      </c>
      <c r="L52" s="27">
        <v>4</v>
      </c>
      <c r="M52" s="28">
        <v>9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customHeight="1">
      <c r="A53" s="7" t="s">
        <v>16</v>
      </c>
      <c r="B53" s="29">
        <v>6</v>
      </c>
      <c r="C53" s="27">
        <v>8</v>
      </c>
      <c r="D53" s="27">
        <v>8</v>
      </c>
      <c r="E53" s="27">
        <v>5</v>
      </c>
      <c r="F53" s="29">
        <v>7</v>
      </c>
      <c r="G53" s="27">
        <v>7</v>
      </c>
      <c r="H53" s="27">
        <v>4</v>
      </c>
      <c r="I53" s="28">
        <v>7</v>
      </c>
      <c r="J53" s="27">
        <v>4</v>
      </c>
      <c r="K53" s="27">
        <v>7</v>
      </c>
      <c r="L53" s="27">
        <v>6</v>
      </c>
      <c r="M53" s="28">
        <v>4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customHeight="1">
      <c r="A54" s="7" t="s">
        <v>17</v>
      </c>
      <c r="B54" s="29">
        <v>7</v>
      </c>
      <c r="C54" s="27">
        <v>6</v>
      </c>
      <c r="D54" s="27">
        <v>5</v>
      </c>
      <c r="E54" s="27">
        <v>5</v>
      </c>
      <c r="F54" s="29">
        <v>7</v>
      </c>
      <c r="G54" s="27">
        <v>5</v>
      </c>
      <c r="H54" s="27">
        <v>3</v>
      </c>
      <c r="I54" s="28">
        <v>5</v>
      </c>
      <c r="J54" s="27">
        <v>7</v>
      </c>
      <c r="K54" s="27">
        <v>3</v>
      </c>
      <c r="L54" s="27">
        <v>1</v>
      </c>
      <c r="M54" s="28">
        <v>5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customHeight="1">
      <c r="A55" s="7" t="s">
        <v>18</v>
      </c>
      <c r="B55" s="29">
        <v>5</v>
      </c>
      <c r="C55" s="27">
        <v>5</v>
      </c>
      <c r="D55" s="27">
        <v>8</v>
      </c>
      <c r="E55" s="27">
        <v>5</v>
      </c>
      <c r="F55" s="29">
        <v>5</v>
      </c>
      <c r="G55" s="27">
        <v>5</v>
      </c>
      <c r="H55" s="27">
        <v>3</v>
      </c>
      <c r="I55" s="28">
        <v>3</v>
      </c>
      <c r="J55" s="27">
        <v>7</v>
      </c>
      <c r="K55" s="27">
        <v>5</v>
      </c>
      <c r="L55" s="27">
        <v>5</v>
      </c>
      <c r="M55" s="28">
        <v>5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">
      <c r="A56" s="7" t="s">
        <v>19</v>
      </c>
      <c r="B56" s="29">
        <v>7</v>
      </c>
      <c r="C56" s="27">
        <v>5</v>
      </c>
      <c r="D56" s="27">
        <v>5</v>
      </c>
      <c r="E56" s="27">
        <v>7</v>
      </c>
      <c r="F56" s="29">
        <v>5</v>
      </c>
      <c r="G56" s="27">
        <v>8</v>
      </c>
      <c r="H56" s="27">
        <v>5</v>
      </c>
      <c r="I56" s="28">
        <v>6</v>
      </c>
      <c r="J56" s="27">
        <v>9</v>
      </c>
      <c r="K56" s="27">
        <v>5</v>
      </c>
      <c r="L56" s="27">
        <v>5</v>
      </c>
      <c r="M56" s="28">
        <v>5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">
      <c r="A57" s="39" t="s">
        <v>20</v>
      </c>
      <c r="B57" s="40">
        <v>7</v>
      </c>
      <c r="C57" s="41">
        <v>8</v>
      </c>
      <c r="D57" s="41">
        <v>7</v>
      </c>
      <c r="E57" s="41">
        <v>7</v>
      </c>
      <c r="F57" s="40">
        <v>7</v>
      </c>
      <c r="G57" s="41">
        <v>3</v>
      </c>
      <c r="H57" s="41">
        <v>3</v>
      </c>
      <c r="I57" s="42">
        <v>7</v>
      </c>
      <c r="J57" s="41">
        <v>7</v>
      </c>
      <c r="K57" s="41">
        <v>5</v>
      </c>
      <c r="L57" s="41">
        <v>5</v>
      </c>
      <c r="M57" s="42">
        <v>7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3">
      <c r="A58" s="12" t="s">
        <v>21</v>
      </c>
      <c r="B58" s="30">
        <f t="shared" ref="B58:M58" si="4">AVERAGE(B43:B57)</f>
        <v>6.0666666666666664</v>
      </c>
      <c r="C58" s="31">
        <f t="shared" si="4"/>
        <v>7.2</v>
      </c>
      <c r="D58" s="31">
        <f t="shared" si="4"/>
        <v>6.666666666666667</v>
      </c>
      <c r="E58" s="31">
        <f t="shared" si="4"/>
        <v>5.2666666666666666</v>
      </c>
      <c r="F58" s="30">
        <f t="shared" si="4"/>
        <v>5.8</v>
      </c>
      <c r="G58" s="31">
        <f t="shared" si="4"/>
        <v>5.333333333333333</v>
      </c>
      <c r="H58" s="31">
        <f t="shared" si="4"/>
        <v>3.8666666666666667</v>
      </c>
      <c r="I58" s="32">
        <f t="shared" si="4"/>
        <v>5.333333333333333</v>
      </c>
      <c r="J58" s="31">
        <f t="shared" si="4"/>
        <v>6.2666666666666666</v>
      </c>
      <c r="K58" s="31">
        <f t="shared" si="4"/>
        <v>3.6</v>
      </c>
      <c r="L58" s="31">
        <f t="shared" si="4"/>
        <v>3.5333333333333332</v>
      </c>
      <c r="M58" s="32">
        <f t="shared" si="4"/>
        <v>6.333333333333333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3">
      <c r="A59" s="13" t="s">
        <v>22</v>
      </c>
      <c r="B59" s="33">
        <f t="shared" ref="B59:M59" si="5">STDEV(B43:B57)</f>
        <v>1.4375905768565203</v>
      </c>
      <c r="C59" s="34">
        <f t="shared" si="5"/>
        <v>1.2071217242444341</v>
      </c>
      <c r="D59" s="34">
        <f t="shared" si="5"/>
        <v>1.2344267996967364</v>
      </c>
      <c r="E59" s="34">
        <f t="shared" si="5"/>
        <v>1.2798809468443688</v>
      </c>
      <c r="F59" s="33">
        <f t="shared" si="5"/>
        <v>1.0823255385643313</v>
      </c>
      <c r="G59" s="34">
        <f t="shared" si="5"/>
        <v>1.676163419695051</v>
      </c>
      <c r="H59" s="34">
        <f t="shared" si="5"/>
        <v>1.552264091423817</v>
      </c>
      <c r="I59" s="35">
        <f t="shared" si="5"/>
        <v>2.093072473889134</v>
      </c>
      <c r="J59" s="34">
        <f t="shared" si="5"/>
        <v>1.6242214252050842</v>
      </c>
      <c r="K59" s="34">
        <f t="shared" si="5"/>
        <v>1.6388149028228556</v>
      </c>
      <c r="L59" s="34">
        <f t="shared" si="5"/>
        <v>1.552264091423817</v>
      </c>
      <c r="M59" s="35">
        <f t="shared" si="5"/>
        <v>2.468853599393471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6">
      <c r="A60" s="2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s="18" customFormat="1" ht="70" customHeight="1">
      <c r="A61" s="6" t="s">
        <v>30</v>
      </c>
      <c r="B61" s="48" t="s">
        <v>31</v>
      </c>
      <c r="C61" s="49"/>
      <c r="D61" s="49"/>
      <c r="E61" s="50"/>
      <c r="F61" s="46" t="s">
        <v>32</v>
      </c>
      <c r="G61" s="46"/>
      <c r="H61" s="46"/>
      <c r="I61" s="46"/>
      <c r="J61" s="46" t="s">
        <v>33</v>
      </c>
      <c r="K61" s="46"/>
      <c r="L61" s="46"/>
      <c r="M61" s="46"/>
      <c r="N61" s="46" t="s">
        <v>34</v>
      </c>
      <c r="O61" s="46"/>
      <c r="P61" s="46"/>
      <c r="Q61" s="46"/>
      <c r="R61" s="16"/>
      <c r="S61" s="16"/>
      <c r="T61" s="16"/>
      <c r="U61" s="16"/>
      <c r="V61" s="16"/>
      <c r="W61" s="16"/>
      <c r="X61" s="16"/>
    </row>
    <row r="62" spans="1:24" s="21" customFormat="1" ht="34">
      <c r="A62" s="15" t="s">
        <v>1</v>
      </c>
      <c r="B62" s="6" t="s">
        <v>35</v>
      </c>
      <c r="C62" s="6" t="s">
        <v>36</v>
      </c>
      <c r="D62" s="6" t="s">
        <v>37</v>
      </c>
      <c r="E62" s="6" t="s">
        <v>38</v>
      </c>
      <c r="F62" s="6" t="s">
        <v>35</v>
      </c>
      <c r="G62" s="6" t="s">
        <v>36</v>
      </c>
      <c r="H62" s="6" t="s">
        <v>37</v>
      </c>
      <c r="I62" s="6" t="s">
        <v>38</v>
      </c>
      <c r="J62" s="6" t="s">
        <v>35</v>
      </c>
      <c r="K62" s="6" t="s">
        <v>36</v>
      </c>
      <c r="L62" s="6" t="s">
        <v>37</v>
      </c>
      <c r="M62" s="6" t="s">
        <v>38</v>
      </c>
      <c r="N62" s="6" t="s">
        <v>35</v>
      </c>
      <c r="O62" s="6" t="s">
        <v>36</v>
      </c>
      <c r="P62" s="6" t="s">
        <v>37</v>
      </c>
      <c r="Q62" s="6" t="s">
        <v>38</v>
      </c>
      <c r="R62" s="19"/>
      <c r="S62" s="19"/>
      <c r="T62" s="19"/>
      <c r="U62" s="19"/>
      <c r="V62" s="19"/>
      <c r="W62" s="19"/>
      <c r="X62" s="19"/>
    </row>
    <row r="63" spans="1:24" ht="13">
      <c r="A63" s="7" t="s">
        <v>6</v>
      </c>
      <c r="B63" s="24">
        <v>8</v>
      </c>
      <c r="C63" s="27">
        <v>1</v>
      </c>
      <c r="D63" s="27">
        <v>2</v>
      </c>
      <c r="E63" s="27">
        <v>8</v>
      </c>
      <c r="F63" s="24">
        <v>9</v>
      </c>
      <c r="G63" s="25">
        <v>2</v>
      </c>
      <c r="H63" s="25">
        <v>3</v>
      </c>
      <c r="I63" s="26">
        <v>7</v>
      </c>
      <c r="J63" s="27">
        <v>1</v>
      </c>
      <c r="K63" s="27">
        <v>9</v>
      </c>
      <c r="L63" s="27">
        <v>4</v>
      </c>
      <c r="M63" s="27">
        <v>2</v>
      </c>
      <c r="N63" s="24">
        <v>7</v>
      </c>
      <c r="O63" s="25">
        <v>7</v>
      </c>
      <c r="P63" s="25">
        <v>6</v>
      </c>
      <c r="Q63" s="26">
        <v>7</v>
      </c>
      <c r="R63" s="1"/>
      <c r="S63" s="1"/>
      <c r="T63" s="1"/>
      <c r="U63" s="1"/>
      <c r="V63" s="1"/>
      <c r="W63" s="1"/>
      <c r="X63" s="1"/>
    </row>
    <row r="64" spans="1:24" ht="13">
      <c r="A64" s="7" t="s">
        <v>7</v>
      </c>
      <c r="B64" s="29">
        <v>7</v>
      </c>
      <c r="C64" s="27">
        <v>3</v>
      </c>
      <c r="D64" s="27">
        <v>7</v>
      </c>
      <c r="E64" s="27">
        <v>9</v>
      </c>
      <c r="F64" s="29">
        <v>9</v>
      </c>
      <c r="G64" s="27">
        <v>4</v>
      </c>
      <c r="H64" s="27">
        <v>8</v>
      </c>
      <c r="I64" s="28">
        <v>6</v>
      </c>
      <c r="J64" s="27">
        <v>1</v>
      </c>
      <c r="K64" s="27">
        <v>4</v>
      </c>
      <c r="L64" s="27">
        <v>1</v>
      </c>
      <c r="M64" s="27">
        <v>1</v>
      </c>
      <c r="N64" s="29">
        <v>3</v>
      </c>
      <c r="O64" s="27">
        <v>6</v>
      </c>
      <c r="P64" s="27">
        <v>3</v>
      </c>
      <c r="Q64" s="28">
        <v>6</v>
      </c>
      <c r="R64" s="1"/>
      <c r="S64" s="1"/>
      <c r="T64" s="1"/>
      <c r="U64" s="1"/>
      <c r="V64" s="1"/>
      <c r="W64" s="1"/>
      <c r="X64" s="1"/>
    </row>
    <row r="65" spans="1:24" ht="13">
      <c r="A65" s="7" t="s">
        <v>8</v>
      </c>
      <c r="B65" s="29">
        <v>9</v>
      </c>
      <c r="C65" s="27">
        <v>5</v>
      </c>
      <c r="D65" s="27">
        <v>7</v>
      </c>
      <c r="E65" s="27">
        <v>7</v>
      </c>
      <c r="F65" s="29">
        <v>9</v>
      </c>
      <c r="G65" s="27">
        <v>7</v>
      </c>
      <c r="H65" s="27">
        <v>7</v>
      </c>
      <c r="I65" s="28">
        <v>3</v>
      </c>
      <c r="J65" s="27">
        <v>1</v>
      </c>
      <c r="K65" s="27">
        <v>3</v>
      </c>
      <c r="L65" s="27">
        <v>3</v>
      </c>
      <c r="M65" s="27">
        <v>1</v>
      </c>
      <c r="N65" s="29">
        <v>6</v>
      </c>
      <c r="O65" s="27">
        <v>4</v>
      </c>
      <c r="P65" s="27">
        <v>4</v>
      </c>
      <c r="Q65" s="28">
        <v>4</v>
      </c>
      <c r="R65" s="1"/>
      <c r="S65" s="1"/>
      <c r="T65" s="1"/>
      <c r="U65" s="1"/>
      <c r="V65" s="1"/>
      <c r="W65" s="1"/>
      <c r="X65" s="1"/>
    </row>
    <row r="66" spans="1:24" ht="13">
      <c r="A66" s="7" t="s">
        <v>9</v>
      </c>
      <c r="B66" s="29">
        <v>2</v>
      </c>
      <c r="C66" s="27">
        <v>1</v>
      </c>
      <c r="D66" s="27">
        <v>1</v>
      </c>
      <c r="E66" s="27">
        <v>9</v>
      </c>
      <c r="F66" s="29">
        <v>8</v>
      </c>
      <c r="G66" s="27">
        <v>3</v>
      </c>
      <c r="H66" s="27">
        <v>3</v>
      </c>
      <c r="I66" s="28">
        <v>8</v>
      </c>
      <c r="J66" s="27">
        <v>1</v>
      </c>
      <c r="K66" s="27">
        <v>1</v>
      </c>
      <c r="L66" s="27">
        <v>1</v>
      </c>
      <c r="M66" s="27">
        <v>2</v>
      </c>
      <c r="N66" s="29">
        <v>8</v>
      </c>
      <c r="O66" s="27">
        <v>8</v>
      </c>
      <c r="P66" s="27">
        <v>8</v>
      </c>
      <c r="Q66" s="28">
        <v>7</v>
      </c>
      <c r="R66" s="1"/>
      <c r="S66" s="1"/>
      <c r="T66" s="1"/>
      <c r="U66" s="1"/>
      <c r="V66" s="1"/>
      <c r="W66" s="1"/>
      <c r="X66" s="1"/>
    </row>
    <row r="67" spans="1:24" ht="13">
      <c r="A67" s="7" t="s">
        <v>10</v>
      </c>
      <c r="B67" s="29">
        <v>2</v>
      </c>
      <c r="C67" s="27">
        <v>2</v>
      </c>
      <c r="D67" s="27">
        <v>6</v>
      </c>
      <c r="E67" s="27">
        <v>8</v>
      </c>
      <c r="F67" s="29">
        <v>3</v>
      </c>
      <c r="G67" s="27">
        <v>3</v>
      </c>
      <c r="H67" s="27">
        <v>6</v>
      </c>
      <c r="I67" s="28">
        <v>4</v>
      </c>
      <c r="J67" s="27">
        <v>4</v>
      </c>
      <c r="K67" s="27">
        <v>4</v>
      </c>
      <c r="L67" s="27">
        <v>6</v>
      </c>
      <c r="M67" s="27">
        <v>3</v>
      </c>
      <c r="N67" s="29">
        <v>7</v>
      </c>
      <c r="O67" s="27">
        <v>6</v>
      </c>
      <c r="P67" s="27">
        <v>6</v>
      </c>
      <c r="Q67" s="28">
        <v>6</v>
      </c>
      <c r="R67" s="1"/>
      <c r="S67" s="1"/>
      <c r="T67" s="1"/>
      <c r="U67" s="1"/>
      <c r="V67" s="1"/>
      <c r="W67" s="1"/>
      <c r="X67" s="1"/>
    </row>
    <row r="68" spans="1:24" ht="13">
      <c r="A68" s="7" t="s">
        <v>11</v>
      </c>
      <c r="B68" s="29">
        <v>3</v>
      </c>
      <c r="C68" s="27">
        <v>1</v>
      </c>
      <c r="D68" s="27">
        <v>2</v>
      </c>
      <c r="E68" s="27">
        <v>9</v>
      </c>
      <c r="F68" s="29">
        <v>4</v>
      </c>
      <c r="G68" s="27">
        <v>2</v>
      </c>
      <c r="H68" s="27">
        <v>2</v>
      </c>
      <c r="I68" s="28">
        <v>6</v>
      </c>
      <c r="J68" s="27">
        <v>4</v>
      </c>
      <c r="K68" s="27">
        <v>9</v>
      </c>
      <c r="L68" s="27">
        <v>6</v>
      </c>
      <c r="M68" s="27">
        <v>1</v>
      </c>
      <c r="N68" s="29">
        <v>8</v>
      </c>
      <c r="O68" s="27">
        <v>7</v>
      </c>
      <c r="P68" s="27">
        <v>8</v>
      </c>
      <c r="Q68" s="28">
        <v>5</v>
      </c>
      <c r="R68" s="1"/>
      <c r="S68" s="1"/>
      <c r="T68" s="1"/>
      <c r="U68" s="1"/>
      <c r="V68" s="1"/>
      <c r="W68" s="1"/>
      <c r="X68" s="1"/>
    </row>
    <row r="69" spans="1:24" ht="13">
      <c r="A69" s="7" t="s">
        <v>12</v>
      </c>
      <c r="B69" s="29">
        <v>6</v>
      </c>
      <c r="C69" s="27">
        <v>2</v>
      </c>
      <c r="D69" s="27">
        <v>5</v>
      </c>
      <c r="E69" s="27">
        <v>5</v>
      </c>
      <c r="F69" s="29">
        <v>8</v>
      </c>
      <c r="G69" s="27">
        <v>7</v>
      </c>
      <c r="H69" s="27">
        <v>5</v>
      </c>
      <c r="I69" s="28">
        <v>5</v>
      </c>
      <c r="J69" s="27">
        <v>4</v>
      </c>
      <c r="K69" s="27">
        <v>2</v>
      </c>
      <c r="L69" s="27">
        <v>5</v>
      </c>
      <c r="M69" s="27">
        <v>2</v>
      </c>
      <c r="N69" s="29">
        <v>5</v>
      </c>
      <c r="O69" s="27">
        <v>2</v>
      </c>
      <c r="P69" s="27">
        <v>5</v>
      </c>
      <c r="Q69" s="28">
        <v>1</v>
      </c>
      <c r="R69" s="1"/>
      <c r="S69" s="1"/>
      <c r="T69" s="1"/>
      <c r="U69" s="1"/>
      <c r="V69" s="1"/>
      <c r="W69" s="1"/>
      <c r="X69" s="1"/>
    </row>
    <row r="70" spans="1:24" ht="13">
      <c r="A70" s="7" t="s">
        <v>13</v>
      </c>
      <c r="B70" s="29">
        <v>4</v>
      </c>
      <c r="C70" s="27">
        <v>1</v>
      </c>
      <c r="D70" s="27">
        <v>5</v>
      </c>
      <c r="E70" s="27">
        <v>9</v>
      </c>
      <c r="F70" s="29">
        <v>6</v>
      </c>
      <c r="G70" s="27">
        <v>6</v>
      </c>
      <c r="H70" s="27">
        <v>5</v>
      </c>
      <c r="I70" s="28">
        <v>4</v>
      </c>
      <c r="J70" s="27">
        <v>7</v>
      </c>
      <c r="K70" s="27">
        <v>7</v>
      </c>
      <c r="L70" s="27">
        <v>5</v>
      </c>
      <c r="M70" s="27">
        <v>4</v>
      </c>
      <c r="N70" s="29">
        <v>8</v>
      </c>
      <c r="O70" s="27">
        <v>4</v>
      </c>
      <c r="P70" s="27">
        <v>5</v>
      </c>
      <c r="Q70" s="28">
        <v>7</v>
      </c>
      <c r="R70" s="1"/>
      <c r="S70" s="1"/>
      <c r="T70" s="1"/>
      <c r="U70" s="1"/>
      <c r="V70" s="1"/>
      <c r="W70" s="1"/>
      <c r="X70" s="1"/>
    </row>
    <row r="71" spans="1:24" ht="13">
      <c r="A71" s="7" t="s">
        <v>14</v>
      </c>
      <c r="B71" s="29">
        <v>9</v>
      </c>
      <c r="C71" s="27">
        <v>1</v>
      </c>
      <c r="D71" s="27">
        <v>5</v>
      </c>
      <c r="E71" s="27">
        <v>9</v>
      </c>
      <c r="F71" s="29">
        <v>9</v>
      </c>
      <c r="G71" s="27">
        <v>7</v>
      </c>
      <c r="H71" s="27">
        <v>5</v>
      </c>
      <c r="I71" s="28">
        <v>1</v>
      </c>
      <c r="J71" s="27">
        <v>1</v>
      </c>
      <c r="K71" s="27">
        <v>6</v>
      </c>
      <c r="L71" s="27">
        <v>4</v>
      </c>
      <c r="M71" s="27">
        <v>1</v>
      </c>
      <c r="N71" s="29">
        <v>9</v>
      </c>
      <c r="O71" s="27">
        <v>7</v>
      </c>
      <c r="P71" s="27">
        <v>9</v>
      </c>
      <c r="Q71" s="28">
        <v>7</v>
      </c>
      <c r="R71" s="1"/>
      <c r="S71" s="1"/>
      <c r="T71" s="1"/>
      <c r="U71" s="1"/>
      <c r="V71" s="1"/>
      <c r="W71" s="1"/>
      <c r="X71" s="1"/>
    </row>
    <row r="72" spans="1:24" ht="13">
      <c r="A72" s="7" t="s">
        <v>15</v>
      </c>
      <c r="B72" s="29">
        <v>7</v>
      </c>
      <c r="C72" s="27">
        <v>1</v>
      </c>
      <c r="D72" s="27">
        <v>5</v>
      </c>
      <c r="E72" s="27">
        <v>9</v>
      </c>
      <c r="F72" s="29">
        <v>8</v>
      </c>
      <c r="G72" s="27">
        <v>2</v>
      </c>
      <c r="H72" s="27">
        <v>4</v>
      </c>
      <c r="I72" s="28">
        <v>9</v>
      </c>
      <c r="J72" s="27">
        <v>1</v>
      </c>
      <c r="K72" s="27">
        <v>6</v>
      </c>
      <c r="L72" s="27">
        <v>2</v>
      </c>
      <c r="M72" s="27">
        <v>1</v>
      </c>
      <c r="N72" s="29">
        <v>7</v>
      </c>
      <c r="O72" s="27">
        <v>8</v>
      </c>
      <c r="P72" s="27">
        <v>6</v>
      </c>
      <c r="Q72" s="28">
        <v>6</v>
      </c>
      <c r="R72" s="1"/>
      <c r="S72" s="1"/>
      <c r="T72" s="1"/>
      <c r="U72" s="1"/>
      <c r="V72" s="1"/>
      <c r="W72" s="1"/>
      <c r="X72" s="1"/>
    </row>
    <row r="73" spans="1:24" ht="13">
      <c r="A73" s="7" t="s">
        <v>16</v>
      </c>
      <c r="B73" s="29">
        <v>7</v>
      </c>
      <c r="C73" s="27">
        <v>3</v>
      </c>
      <c r="D73" s="27">
        <v>4</v>
      </c>
      <c r="E73" s="27">
        <v>7</v>
      </c>
      <c r="F73" s="29">
        <v>8</v>
      </c>
      <c r="G73" s="27">
        <v>7</v>
      </c>
      <c r="H73" s="27">
        <v>7</v>
      </c>
      <c r="I73" s="28">
        <v>7</v>
      </c>
      <c r="J73" s="27">
        <v>1</v>
      </c>
      <c r="K73" s="27">
        <v>2</v>
      </c>
      <c r="L73" s="27">
        <v>2</v>
      </c>
      <c r="M73" s="27">
        <v>2</v>
      </c>
      <c r="N73" s="29">
        <v>9</v>
      </c>
      <c r="O73" s="27">
        <v>8</v>
      </c>
      <c r="P73" s="27">
        <v>8</v>
      </c>
      <c r="Q73" s="28">
        <v>8</v>
      </c>
      <c r="R73" s="1"/>
      <c r="S73" s="1"/>
      <c r="T73" s="1"/>
      <c r="U73" s="1"/>
      <c r="V73" s="1"/>
      <c r="W73" s="1"/>
      <c r="X73" s="1"/>
    </row>
    <row r="74" spans="1:24" ht="13">
      <c r="A74" s="7" t="s">
        <v>17</v>
      </c>
      <c r="B74" s="29">
        <v>4</v>
      </c>
      <c r="C74" s="27">
        <v>4</v>
      </c>
      <c r="D74" s="27">
        <v>4</v>
      </c>
      <c r="E74" s="27">
        <v>7</v>
      </c>
      <c r="F74" s="29">
        <v>6</v>
      </c>
      <c r="G74" s="27">
        <v>6</v>
      </c>
      <c r="H74" s="27">
        <v>5</v>
      </c>
      <c r="I74" s="28">
        <v>2</v>
      </c>
      <c r="J74" s="27">
        <v>4</v>
      </c>
      <c r="K74" s="27">
        <v>6</v>
      </c>
      <c r="L74" s="27">
        <v>3</v>
      </c>
      <c r="M74" s="27">
        <v>2</v>
      </c>
      <c r="N74" s="29">
        <v>7</v>
      </c>
      <c r="O74" s="27">
        <v>6</v>
      </c>
      <c r="P74" s="27">
        <v>6</v>
      </c>
      <c r="Q74" s="28">
        <v>5</v>
      </c>
      <c r="R74" s="1"/>
      <c r="S74" s="1"/>
      <c r="T74" s="1"/>
      <c r="U74" s="1"/>
      <c r="V74" s="1"/>
      <c r="W74" s="1"/>
      <c r="X74" s="1"/>
    </row>
    <row r="75" spans="1:24" ht="13">
      <c r="A75" s="7" t="s">
        <v>18</v>
      </c>
      <c r="B75" s="29">
        <v>2</v>
      </c>
      <c r="C75" s="27">
        <v>2</v>
      </c>
      <c r="D75" s="27">
        <v>2</v>
      </c>
      <c r="E75" s="27">
        <v>9</v>
      </c>
      <c r="F75" s="29">
        <v>3</v>
      </c>
      <c r="G75" s="27">
        <v>3</v>
      </c>
      <c r="H75" s="27">
        <v>4</v>
      </c>
      <c r="I75" s="28">
        <v>7</v>
      </c>
      <c r="J75" s="27">
        <v>2</v>
      </c>
      <c r="K75" s="27">
        <v>2</v>
      </c>
      <c r="L75" s="27">
        <v>3</v>
      </c>
      <c r="M75" s="27">
        <v>1</v>
      </c>
      <c r="N75" s="29">
        <v>7</v>
      </c>
      <c r="O75" s="27">
        <v>8</v>
      </c>
      <c r="P75" s="27">
        <v>8</v>
      </c>
      <c r="Q75" s="28">
        <v>7</v>
      </c>
      <c r="R75" s="1"/>
      <c r="S75" s="1"/>
      <c r="T75" s="1"/>
      <c r="U75" s="1"/>
      <c r="V75" s="1"/>
      <c r="W75" s="1"/>
      <c r="X75" s="1"/>
    </row>
    <row r="76" spans="1:24" ht="13">
      <c r="A76" s="7" t="s">
        <v>19</v>
      </c>
      <c r="B76" s="29">
        <v>9</v>
      </c>
      <c r="C76" s="27">
        <v>1</v>
      </c>
      <c r="D76" s="27">
        <v>5</v>
      </c>
      <c r="E76" s="27">
        <v>9</v>
      </c>
      <c r="F76" s="29">
        <v>9</v>
      </c>
      <c r="G76" s="27">
        <v>9</v>
      </c>
      <c r="H76" s="27">
        <v>5</v>
      </c>
      <c r="I76" s="28">
        <v>9</v>
      </c>
      <c r="J76" s="27">
        <v>1</v>
      </c>
      <c r="K76" s="27">
        <v>1</v>
      </c>
      <c r="L76" s="27">
        <v>5</v>
      </c>
      <c r="M76" s="27">
        <v>6</v>
      </c>
      <c r="N76" s="29">
        <v>9</v>
      </c>
      <c r="O76" s="27">
        <v>9</v>
      </c>
      <c r="P76" s="27">
        <v>5</v>
      </c>
      <c r="Q76" s="28">
        <v>8</v>
      </c>
      <c r="R76" s="1"/>
      <c r="S76" s="1"/>
      <c r="T76" s="1"/>
      <c r="U76" s="1"/>
      <c r="V76" s="1"/>
      <c r="W76" s="1"/>
      <c r="X76" s="1"/>
    </row>
    <row r="77" spans="1:24" ht="13">
      <c r="A77" s="39" t="s">
        <v>20</v>
      </c>
      <c r="B77" s="40">
        <v>7</v>
      </c>
      <c r="C77" s="41">
        <v>4</v>
      </c>
      <c r="D77" s="41">
        <v>4</v>
      </c>
      <c r="E77" s="41">
        <v>7</v>
      </c>
      <c r="F77" s="40">
        <v>9</v>
      </c>
      <c r="G77" s="41">
        <v>7</v>
      </c>
      <c r="H77" s="41">
        <v>4</v>
      </c>
      <c r="I77" s="42">
        <v>7</v>
      </c>
      <c r="J77" s="41">
        <v>1</v>
      </c>
      <c r="K77" s="41">
        <v>3</v>
      </c>
      <c r="L77" s="41">
        <v>4</v>
      </c>
      <c r="M77" s="41">
        <v>3</v>
      </c>
      <c r="N77" s="40">
        <v>3</v>
      </c>
      <c r="O77" s="41">
        <v>3</v>
      </c>
      <c r="P77" s="41">
        <v>5</v>
      </c>
      <c r="Q77" s="42">
        <v>4</v>
      </c>
      <c r="R77" s="1"/>
      <c r="S77" s="1"/>
      <c r="T77" s="1"/>
      <c r="U77" s="1"/>
      <c r="V77" s="1"/>
      <c r="W77" s="1"/>
      <c r="X77" s="1"/>
    </row>
    <row r="78" spans="1:24" ht="13">
      <c r="A78" s="8" t="s">
        <v>21</v>
      </c>
      <c r="B78" s="30">
        <f t="shared" ref="B78:Q78" si="6">AVERAGE(B63:B77)</f>
        <v>5.7333333333333334</v>
      </c>
      <c r="C78" s="31">
        <f t="shared" si="6"/>
        <v>2.1333333333333333</v>
      </c>
      <c r="D78" s="31">
        <f t="shared" si="6"/>
        <v>4.2666666666666666</v>
      </c>
      <c r="E78" s="31">
        <f t="shared" si="6"/>
        <v>8.0666666666666664</v>
      </c>
      <c r="F78" s="30">
        <f t="shared" si="6"/>
        <v>7.2</v>
      </c>
      <c r="G78" s="31">
        <f t="shared" si="6"/>
        <v>5</v>
      </c>
      <c r="H78" s="31">
        <f t="shared" si="6"/>
        <v>4.8666666666666663</v>
      </c>
      <c r="I78" s="32">
        <f t="shared" si="6"/>
        <v>5.666666666666667</v>
      </c>
      <c r="J78" s="31">
        <f t="shared" si="6"/>
        <v>2.2666666666666666</v>
      </c>
      <c r="K78" s="31">
        <f t="shared" si="6"/>
        <v>4.333333333333333</v>
      </c>
      <c r="L78" s="31">
        <f t="shared" si="6"/>
        <v>3.6</v>
      </c>
      <c r="M78" s="31">
        <f t="shared" si="6"/>
        <v>2.1333333333333333</v>
      </c>
      <c r="N78" s="30">
        <f t="shared" si="6"/>
        <v>6.8666666666666663</v>
      </c>
      <c r="O78" s="31">
        <f t="shared" si="6"/>
        <v>6.2</v>
      </c>
      <c r="P78" s="31">
        <f t="shared" si="6"/>
        <v>6.1333333333333337</v>
      </c>
      <c r="Q78" s="32">
        <f t="shared" si="6"/>
        <v>5.8666666666666663</v>
      </c>
      <c r="R78" s="1"/>
      <c r="S78" s="1"/>
      <c r="T78" s="1"/>
      <c r="U78" s="1"/>
      <c r="V78" s="1"/>
      <c r="W78" s="1"/>
      <c r="X78" s="1"/>
    </row>
    <row r="79" spans="1:24" ht="13">
      <c r="A79" s="9" t="s">
        <v>22</v>
      </c>
      <c r="B79" s="33">
        <f t="shared" ref="B79:Q79" si="7">STDEV(B63:B77)</f>
        <v>2.6583202716502514</v>
      </c>
      <c r="C79" s="34">
        <f t="shared" si="7"/>
        <v>1.3557637102737476</v>
      </c>
      <c r="D79" s="34">
        <f t="shared" si="7"/>
        <v>1.8309508328682538</v>
      </c>
      <c r="E79" s="34">
        <f t="shared" si="7"/>
        <v>1.2227992865708139</v>
      </c>
      <c r="F79" s="33">
        <f t="shared" si="7"/>
        <v>2.2424476423255522</v>
      </c>
      <c r="G79" s="34">
        <f t="shared" si="7"/>
        <v>2.3603873774083293</v>
      </c>
      <c r="H79" s="34">
        <f t="shared" si="7"/>
        <v>1.6417180315870616</v>
      </c>
      <c r="I79" s="35">
        <f t="shared" si="7"/>
        <v>2.4397501823713328</v>
      </c>
      <c r="J79" s="34">
        <f t="shared" si="7"/>
        <v>1.8695555876298773</v>
      </c>
      <c r="K79" s="34">
        <f t="shared" si="7"/>
        <v>2.6903708365381966</v>
      </c>
      <c r="L79" s="34">
        <f t="shared" si="7"/>
        <v>1.6388149028228556</v>
      </c>
      <c r="M79" s="34">
        <f t="shared" si="7"/>
        <v>1.4074631010979937</v>
      </c>
      <c r="N79" s="33">
        <f t="shared" si="7"/>
        <v>1.92230020944651</v>
      </c>
      <c r="O79" s="34">
        <f t="shared" si="7"/>
        <v>2.07708587070581</v>
      </c>
      <c r="P79" s="34">
        <f t="shared" si="7"/>
        <v>1.726543477863324</v>
      </c>
      <c r="Q79" s="35">
        <f t="shared" si="7"/>
        <v>1.8464895909600494</v>
      </c>
      <c r="R79" s="1"/>
      <c r="S79" s="1"/>
      <c r="T79" s="1"/>
      <c r="U79" s="1"/>
      <c r="V79" s="1"/>
      <c r="W79" s="1"/>
      <c r="X79" s="1"/>
    </row>
    <row r="80" spans="1:24" ht="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</sheetData>
  <mergeCells count="14">
    <mergeCell ref="N61:Q61"/>
    <mergeCell ref="B41:E41"/>
    <mergeCell ref="F41:I41"/>
    <mergeCell ref="J41:M41"/>
    <mergeCell ref="B61:E61"/>
    <mergeCell ref="F61:I61"/>
    <mergeCell ref="J61:M61"/>
    <mergeCell ref="B21:E21"/>
    <mergeCell ref="B1:E1"/>
    <mergeCell ref="F1:I1"/>
    <mergeCell ref="J1:M1"/>
    <mergeCell ref="N1:Q1"/>
    <mergeCell ref="F21:I21"/>
    <mergeCell ref="J21:M21"/>
  </mergeCells>
  <pageMargins left="0.7" right="0.7" top="0.75" bottom="0.75" header="0.3" footer="0.3"/>
  <pageSetup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8F1B-6B08-F548-B628-EE1B39470429}">
  <dimension ref="A1"/>
  <sheetViews>
    <sheetView workbookViewId="0">
      <selection activeCell="E44" sqref="E44"/>
    </sheetView>
  </sheetViews>
  <sheetFormatPr baseColWidth="10" defaultRowHeight="1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Lou</cp:lastModifiedBy>
  <cp:lastPrinted>2025-10-18T00:49:07Z</cp:lastPrinted>
  <dcterms:created xsi:type="dcterms:W3CDTF">2025-10-18T00:48:33Z</dcterms:created>
  <dcterms:modified xsi:type="dcterms:W3CDTF">2025-10-18T01:46:10Z</dcterms:modified>
</cp:coreProperties>
</file>